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mc:AlternateContent xmlns:mc="http://schemas.openxmlformats.org/markup-compatibility/2006">
    <mc:Choice Requires="x15">
      <x15ac:absPath xmlns:x15ac="http://schemas.microsoft.com/office/spreadsheetml/2010/11/ac" url="https://uofnebraska-my.sharepoint.com/personal/94848172_nebraska_edu/Documents/UNO/S2/CIVE202/Project 4/"/>
    </mc:Choice>
  </mc:AlternateContent>
  <xr:revisionPtr revIDLastSave="0" documentId="8_{CED1B97C-0599-4BE5-BF27-4B79F0AB8EDB}"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1" l="1"/>
  <c r="F32" i="11"/>
  <c r="F31" i="11"/>
  <c r="F30" i="11"/>
  <c r="F26" i="11"/>
  <c r="E30" i="11"/>
  <c r="E28" i="11"/>
  <c r="E26" i="11"/>
  <c r="F24" i="11"/>
  <c r="F25" i="11"/>
  <c r="E25" i="11"/>
  <c r="E24" i="11"/>
  <c r="F19" i="11"/>
  <c r="F18" i="11"/>
  <c r="E31" i="11" l="1"/>
  <c r="H7" i="11" l="1"/>
  <c r="E9" i="11" l="1"/>
  <c r="F9" i="11" s="1"/>
  <c r="E10" i="11" l="1"/>
  <c r="F10" i="11" s="1"/>
  <c r="I5" i="11"/>
  <c r="H27" i="11"/>
  <c r="H23" i="11"/>
  <c r="H20" i="11"/>
  <c r="H14" i="11"/>
  <c r="H8" i="11"/>
  <c r="H9" i="11" l="1"/>
  <c r="E11" i="11"/>
  <c r="F11" i="11" s="1"/>
  <c r="E13" i="11"/>
  <c r="I6" i="11"/>
  <c r="E29" i="11" l="1"/>
  <c r="F29" i="11" s="1"/>
  <c r="E32" i="11"/>
  <c r="H10" i="11"/>
  <c r="F13" i="11"/>
  <c r="H13" i="11" s="1"/>
  <c r="E12" i="11"/>
  <c r="F12" i="11" s="1"/>
  <c r="E15" i="11" s="1"/>
  <c r="F15" i="11" s="1"/>
  <c r="E16" i="11" s="1"/>
  <c r="F16" i="11" s="1"/>
  <c r="J5" i="11"/>
  <c r="K5" i="11" s="1"/>
  <c r="L5" i="11" s="1"/>
  <c r="M5" i="11" s="1"/>
  <c r="N5" i="11" s="1"/>
  <c r="O5" i="11" s="1"/>
  <c r="P5" i="11" s="1"/>
  <c r="I4" i="11"/>
  <c r="H28" i="11" l="1"/>
  <c r="H15" i="11"/>
  <c r="H16" i="11"/>
  <c r="E17" i="11"/>
  <c r="H11" i="11"/>
  <c r="H12" i="11"/>
  <c r="P4" i="11"/>
  <c r="Q5" i="11"/>
  <c r="R5" i="11" s="1"/>
  <c r="S5" i="11" s="1"/>
  <c r="T5" i="11" s="1"/>
  <c r="U5" i="11" s="1"/>
  <c r="V5" i="11" s="1"/>
  <c r="W5" i="11" s="1"/>
  <c r="J6" i="11"/>
  <c r="E18" i="11" l="1"/>
  <c r="E19" i="11" s="1"/>
  <c r="F17" i="11"/>
  <c r="H18" i="11"/>
  <c r="H17" i="11"/>
  <c r="W4" i="11"/>
  <c r="X5" i="11"/>
  <c r="Y5" i="11" s="1"/>
  <c r="Z5" i="11" s="1"/>
  <c r="AA5" i="11" s="1"/>
  <c r="AB5" i="11" s="1"/>
  <c r="AC5" i="11" s="1"/>
  <c r="AD5" i="11" s="1"/>
  <c r="K6" i="11"/>
  <c r="H19" i="11" l="1"/>
  <c r="E21" i="11"/>
  <c r="AE5" i="11"/>
  <c r="AF5" i="11" s="1"/>
  <c r="AG5" i="11" s="1"/>
  <c r="AH5" i="11" s="1"/>
  <c r="AI5" i="11" s="1"/>
  <c r="AJ5" i="11" s="1"/>
  <c r="AD4" i="11"/>
  <c r="L6" i="11"/>
  <c r="F21" i="11" l="1"/>
  <c r="E22" i="11" s="1"/>
  <c r="H21" i="11"/>
  <c r="AK5" i="11"/>
  <c r="AL5" i="11" s="1"/>
  <c r="AM5" i="11" s="1"/>
  <c r="AN5" i="11" s="1"/>
  <c r="AO5" i="11" s="1"/>
  <c r="AP5" i="11" s="1"/>
  <c r="AQ5" i="11" s="1"/>
  <c r="M6" i="11"/>
  <c r="H24" i="11" l="1"/>
  <c r="F22" i="11"/>
  <c r="H22" i="11"/>
  <c r="AR5" i="11"/>
  <c r="AS5" i="11" s="1"/>
  <c r="AK4" i="11"/>
  <c r="N6" i="11"/>
  <c r="H26" i="11" l="1"/>
  <c r="AT5" i="11"/>
  <c r="AS6" i="11"/>
  <c r="AR4" i="11"/>
  <c r="O6" i="11"/>
  <c r="H25" i="11" l="1"/>
  <c r="AU5" i="1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<sst xmlns="http://schemas.openxmlformats.org/spreadsheetml/2006/main" count="74" uniqueCount="55">
  <si>
    <t>CIVE 202 Project 4</t>
  </si>
  <si>
    <t>Project start:</t>
  </si>
  <si>
    <t>Group M</t>
  </si>
  <si>
    <t>Jacob Kosmicki, Jacob Lamoureux, Eli Speth</t>
  </si>
  <si>
    <t>Display week:</t>
  </si>
  <si>
    <t>SIMPLE GANTT CHART by Vertex42.com</t>
  </si>
  <si>
    <t>Dependent of another step</t>
  </si>
  <si>
    <t>The part dependent of</t>
  </si>
  <si>
    <t>https://www.vertex42.com/ExcelTemplates/simple-gantt-chart.html</t>
  </si>
  <si>
    <t>TASK</t>
  </si>
  <si>
    <t>ASSIGNED TO</t>
  </si>
  <si>
    <t>PROGRESS</t>
  </si>
  <si>
    <t>START</t>
  </si>
  <si>
    <t>END</t>
  </si>
  <si>
    <t xml:space="preserve">Do not delete this row. This row is hidden to preserve a formula that is used to highlight the current day within the project schedule. </t>
  </si>
  <si>
    <t>Data Cleaning</t>
  </si>
  <si>
    <t>Download NRI Data</t>
  </si>
  <si>
    <t>Jacob K</t>
  </si>
  <si>
    <t>Metadata and SVI</t>
  </si>
  <si>
    <t>Jacob L</t>
  </si>
  <si>
    <t>Clean/Organize</t>
  </si>
  <si>
    <t>Eli S</t>
  </si>
  <si>
    <t>Join Datasets</t>
  </si>
  <si>
    <t>Handle Missing Values</t>
  </si>
  <si>
    <t>Risk Definitions and Hazards</t>
  </si>
  <si>
    <t>Reproduce NRI Method</t>
  </si>
  <si>
    <t>Flood Risk</t>
  </si>
  <si>
    <t>Wildfire Risk</t>
  </si>
  <si>
    <t>Analysis</t>
  </si>
  <si>
    <t>Visuals</t>
  </si>
  <si>
    <t>Risk Score</t>
  </si>
  <si>
    <t>Tables/Figures</t>
  </si>
  <si>
    <t>GeoPandas Map</t>
  </si>
  <si>
    <t>Documentation</t>
  </si>
  <si>
    <t>Annotated Code Doc</t>
  </si>
  <si>
    <t>Scope of Work</t>
  </si>
  <si>
    <t>Written Report</t>
  </si>
  <si>
    <t>Timesheet</t>
  </si>
  <si>
    <t>Gantt Chart</t>
  </si>
  <si>
    <t>GitHub Repository</t>
  </si>
  <si>
    <t>README</t>
  </si>
  <si>
    <t>Submission</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</si>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</sst>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9">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sz val="12"/>
      <color theme="9"/>
      <name val="Arial"/>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7" tint="-0.249977111117893"/>
        <bgColor indexed="64"/>
      </patternFill>
    </fill>
    <fill>
      <patternFill patternType="solid">
        <fgColor theme="7" tint="0.399975585192419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6">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3"/>
    <xf numFmtId="0" fontId="11" fillId="0" borderId="0" xfId="3" applyAlignment="1">
      <alignment wrapText="1"/>
    </xf>
    <xf numFmtId="0" fontId="3" fillId="0" borderId="0" xfId="0" applyFont="1" applyAlignment="1">
      <alignment horizontal="center" vertical="center"/>
    </xf>
    <xf numFmtId="0" fontId="13" fillId="0" borderId="0" xfId="0" applyFont="1"/>
    <xf numFmtId="0" fontId="12" fillId="0" borderId="0" xfId="0" applyFont="1"/>
    <xf numFmtId="0" fontId="12" fillId="0" borderId="0" xfId="0" applyFont="1" applyAlignment="1">
      <alignment horizontal="center"/>
    </xf>
    <xf numFmtId="0" fontId="12" fillId="0" borderId="0" xfId="0" applyFont="1" applyAlignment="1">
      <alignment horizontal="center" vertical="center"/>
    </xf>
    <xf numFmtId="0" fontId="14" fillId="0" borderId="0" xfId="0" applyFont="1"/>
    <xf numFmtId="0" fontId="14" fillId="0" borderId="0" xfId="0" applyFont="1" applyAlignment="1">
      <alignment horizontal="center"/>
    </xf>
    <xf numFmtId="0" fontId="15" fillId="0" borderId="0" xfId="0" applyFont="1"/>
    <xf numFmtId="0" fontId="16"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19" fillId="12" borderId="20" xfId="0" applyNumberFormat="1" applyFont="1" applyFill="1" applyBorder="1" applyAlignment="1">
      <alignment horizontal="center" vertical="center"/>
    </xf>
    <xf numFmtId="167" fontId="19" fillId="12" borderId="18" xfId="0" applyNumberFormat="1" applyFont="1" applyFill="1" applyBorder="1" applyAlignment="1">
      <alignment horizontal="center" vertical="center"/>
    </xf>
    <xf numFmtId="167" fontId="19" fillId="12" borderId="19" xfId="0" applyNumberFormat="1" applyFont="1" applyFill="1" applyBorder="1" applyAlignment="1">
      <alignment horizontal="center" vertical="center"/>
    </xf>
    <xf numFmtId="0" fontId="20" fillId="2" borderId="17" xfId="0" applyFont="1" applyFill="1" applyBorder="1" applyAlignment="1">
      <alignment horizontal="center" vertical="center" shrinkToFit="1"/>
    </xf>
    <xf numFmtId="0" fontId="20" fillId="2" borderId="14" xfId="0" applyFont="1" applyFill="1" applyBorder="1" applyAlignment="1">
      <alignment horizontal="center" vertical="center" shrinkToFit="1"/>
    </xf>
    <xf numFmtId="0" fontId="20" fillId="2" borderId="15" xfId="0" applyFont="1" applyFill="1" applyBorder="1" applyAlignment="1">
      <alignment horizontal="center" vertical="center" shrinkToFit="1"/>
    </xf>
    <xf numFmtId="0" fontId="17" fillId="0" borderId="0" xfId="0" applyFont="1"/>
    <xf numFmtId="0" fontId="17" fillId="0" borderId="0" xfId="0" applyFont="1" applyAlignment="1">
      <alignment wrapText="1"/>
    </xf>
    <xf numFmtId="0" fontId="4" fillId="0" borderId="3" xfId="0" applyFont="1" applyBorder="1" applyAlignment="1">
      <alignment vertical="center"/>
    </xf>
    <xf numFmtId="0" fontId="21" fillId="6" borderId="0" xfId="0" applyFont="1" applyFill="1" applyAlignment="1">
      <alignment horizontal="left" vertical="center" indent="1"/>
    </xf>
    <xf numFmtId="0" fontId="17" fillId="6" borderId="0" xfId="11" applyFont="1" applyFill="1" applyBorder="1" applyAlignment="1">
      <alignment vertical="center"/>
    </xf>
    <xf numFmtId="9" fontId="1" fillId="6" borderId="0" xfId="2" applyFont="1" applyFill="1" applyBorder="1" applyAlignment="1">
      <alignment horizontal="center" vertical="center"/>
    </xf>
    <xf numFmtId="164" fontId="17"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7" fillId="3" borderId="6" xfId="12" applyFont="1" applyFill="1" applyBorder="1">
      <alignment horizontal="left" vertical="center" indent="2"/>
    </xf>
    <xf numFmtId="0" fontId="17" fillId="3" borderId="6" xfId="11" applyFont="1" applyFill="1" applyBorder="1" applyAlignment="1">
      <alignment vertical="center"/>
    </xf>
    <xf numFmtId="9" fontId="1" fillId="3" borderId="6" xfId="2" applyFont="1" applyFill="1" applyBorder="1" applyAlignment="1">
      <alignment horizontal="center" vertical="center"/>
    </xf>
    <xf numFmtId="164" fontId="17" fillId="3" borderId="6" xfId="10" applyFont="1" applyFill="1" applyBorder="1">
      <alignment horizontal="center" vertical="center"/>
    </xf>
    <xf numFmtId="0" fontId="4" fillId="0" borderId="4" xfId="0" applyFont="1" applyBorder="1" applyAlignment="1">
      <alignment vertical="center"/>
    </xf>
    <xf numFmtId="0" fontId="17" fillId="3" borderId="7" xfId="12" applyFont="1" applyFill="1" applyBorder="1">
      <alignment horizontal="left" vertical="center" indent="2"/>
    </xf>
    <xf numFmtId="0" fontId="17" fillId="3" borderId="7" xfId="11" applyFont="1" applyFill="1" applyBorder="1" applyAlignment="1">
      <alignment vertical="center"/>
    </xf>
    <xf numFmtId="9" fontId="1" fillId="3" borderId="7" xfId="2" applyFont="1" applyFill="1" applyBorder="1" applyAlignment="1">
      <alignment horizontal="center" vertical="center"/>
    </xf>
    <xf numFmtId="164" fontId="17" fillId="3" borderId="7" xfId="10" applyFont="1" applyFill="1" applyBorder="1">
      <alignment horizontal="center" vertical="center"/>
    </xf>
    <xf numFmtId="0" fontId="4" fillId="0" borderId="4" xfId="0" applyFont="1" applyBorder="1" applyAlignment="1">
      <alignment horizontal="right" vertical="center"/>
    </xf>
    <xf numFmtId="0" fontId="21" fillId="7" borderId="0" xfId="0" applyFont="1" applyFill="1" applyAlignment="1">
      <alignment horizontal="left" vertical="center" indent="1"/>
    </xf>
    <xf numFmtId="0" fontId="17" fillId="7" borderId="0" xfId="11" applyFont="1" applyFill="1" applyBorder="1" applyAlignment="1">
      <alignment vertical="center"/>
    </xf>
    <xf numFmtId="9" fontId="1" fillId="7" borderId="0" xfId="2" applyFont="1" applyFill="1" applyBorder="1" applyAlignment="1">
      <alignment horizontal="center" vertical="center"/>
    </xf>
    <xf numFmtId="164" fontId="17"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7" fillId="4" borderId="5" xfId="12" applyFont="1" applyFill="1" applyBorder="1">
      <alignment horizontal="left" vertical="center" indent="2"/>
    </xf>
    <xf numFmtId="0" fontId="17" fillId="4" borderId="5" xfId="11" applyFont="1" applyFill="1" applyBorder="1" applyAlignment="1">
      <alignment vertical="center"/>
    </xf>
    <xf numFmtId="9" fontId="1" fillId="4" borderId="5" xfId="2" applyFont="1" applyFill="1" applyBorder="1" applyAlignment="1">
      <alignment horizontal="center" vertical="center"/>
    </xf>
    <xf numFmtId="164" fontId="17" fillId="4" borderId="5" xfId="10" applyFont="1" applyFill="1" applyBorder="1">
      <alignment horizontal="center" vertical="center"/>
    </xf>
    <xf numFmtId="0" fontId="21" fillId="8" borderId="0" xfId="0" applyFont="1" applyFill="1" applyAlignment="1">
      <alignment horizontal="left" vertical="center" indent="1"/>
    </xf>
    <xf numFmtId="0" fontId="17" fillId="8" borderId="0" xfId="11" applyFont="1" applyFill="1" applyBorder="1" applyAlignment="1">
      <alignment vertical="center"/>
    </xf>
    <xf numFmtId="9" fontId="1" fillId="8" borderId="0" xfId="2" applyFont="1" applyFill="1" applyBorder="1" applyAlignment="1">
      <alignment horizontal="center" vertical="center"/>
    </xf>
    <xf numFmtId="164" fontId="17"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7" fillId="5" borderId="8" xfId="12" applyFont="1" applyFill="1" applyBorder="1">
      <alignment horizontal="left" vertical="center" indent="2"/>
    </xf>
    <xf numFmtId="0" fontId="17" fillId="5" borderId="8" xfId="11" applyFont="1" applyFill="1" applyBorder="1" applyAlignment="1">
      <alignment vertical="center"/>
    </xf>
    <xf numFmtId="9" fontId="1" fillId="5" borderId="8" xfId="2" applyFont="1" applyFill="1" applyBorder="1" applyAlignment="1">
      <alignment horizontal="center" vertical="center"/>
    </xf>
    <xf numFmtId="164" fontId="17" fillId="5" borderId="8" xfId="10" applyFont="1" applyFill="1" applyBorder="1">
      <alignment horizontal="center" vertical="center"/>
    </xf>
    <xf numFmtId="0" fontId="21" fillId="9" borderId="0" xfId="0" applyFont="1" applyFill="1" applyAlignment="1">
      <alignment horizontal="left" vertical="center" indent="1"/>
    </xf>
    <xf numFmtId="0" fontId="17" fillId="9" borderId="0" xfId="11" applyFont="1" applyFill="1" applyBorder="1" applyAlignment="1">
      <alignment vertical="center"/>
    </xf>
    <xf numFmtId="9" fontId="1" fillId="9" borderId="0" xfId="2" applyFont="1" applyFill="1" applyBorder="1" applyAlignment="1">
      <alignment horizontal="center" vertical="center"/>
    </xf>
    <xf numFmtId="164" fontId="17"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7" fillId="10" borderId="9" xfId="12" applyFont="1" applyFill="1" applyBorder="1">
      <alignment horizontal="left" vertical="center" indent="2"/>
    </xf>
    <xf numFmtId="0" fontId="17" fillId="10" borderId="9" xfId="11" applyFont="1" applyFill="1" applyBorder="1" applyAlignment="1">
      <alignment vertical="center"/>
    </xf>
    <xf numFmtId="9" fontId="1" fillId="10" borderId="9" xfId="2" applyFont="1" applyFill="1" applyBorder="1" applyAlignment="1">
      <alignment horizontal="center" vertical="center"/>
    </xf>
    <xf numFmtId="164" fontId="17" fillId="10" borderId="9" xfId="10" applyFont="1" applyFill="1" applyBorder="1">
      <alignment horizontal="center" vertical="center"/>
    </xf>
    <xf numFmtId="0" fontId="22" fillId="0" borderId="0" xfId="6" applyFont="1" applyAlignment="1">
      <alignment horizontal="left" vertical="center" indent="1"/>
    </xf>
    <xf numFmtId="0" fontId="25" fillId="0" borderId="0" xfId="5" applyFont="1" applyAlignment="1">
      <alignment horizontal="left"/>
    </xf>
    <xf numFmtId="0" fontId="7"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0" fontId="28" fillId="0" borderId="0" xfId="7" applyFont="1" applyAlignment="1">
      <alignment horizontal="left" vertical="center" indent="1"/>
    </xf>
    <xf numFmtId="0" fontId="21" fillId="13" borderId="0" xfId="0" applyFont="1" applyFill="1" applyAlignment="1">
      <alignment horizontal="left" vertical="center" indent="1"/>
    </xf>
    <xf numFmtId="0" fontId="17" fillId="13" borderId="0" xfId="11" applyFont="1" applyFill="1" applyBorder="1" applyAlignment="1">
      <alignment vertical="center"/>
    </xf>
    <xf numFmtId="9" fontId="1" fillId="13" borderId="0" xfId="2" applyFont="1" applyFill="1" applyBorder="1" applyAlignment="1">
      <alignment horizontal="center" vertical="center"/>
    </xf>
    <xf numFmtId="164" fontId="17" fillId="13" borderId="0" xfId="0" applyNumberFormat="1" applyFont="1" applyFill="1" applyAlignment="1">
      <alignment horizontal="center" vertical="center"/>
    </xf>
    <xf numFmtId="164" fontId="1" fillId="13" borderId="0" xfId="0" applyNumberFormat="1" applyFont="1" applyFill="1" applyAlignment="1">
      <alignment horizontal="center" vertical="center"/>
    </xf>
    <xf numFmtId="0" fontId="17" fillId="14" borderId="9" xfId="12" applyFont="1" applyFill="1" applyBorder="1">
      <alignment horizontal="left" vertical="center" indent="2"/>
    </xf>
    <xf numFmtId="0" fontId="17" fillId="14" borderId="9" xfId="11" applyFont="1" applyFill="1" applyBorder="1" applyAlignment="1">
      <alignment vertical="center"/>
    </xf>
    <xf numFmtId="9" fontId="1" fillId="14" borderId="9" xfId="2" applyFont="1" applyFill="1" applyBorder="1" applyAlignment="1">
      <alignment horizontal="center" vertical="center"/>
    </xf>
    <xf numFmtId="164" fontId="17" fillId="14" borderId="9" xfId="10" applyFont="1" applyFill="1" applyBorder="1">
      <alignment horizontal="center" vertical="center"/>
    </xf>
    <xf numFmtId="166" fontId="17" fillId="2" borderId="13" xfId="0" applyNumberFormat="1" applyFont="1" applyFill="1" applyBorder="1" applyAlignment="1">
      <alignment horizontal="center" vertical="center" wrapText="1"/>
    </xf>
    <xf numFmtId="166" fontId="17" fillId="2" borderId="19" xfId="0" applyNumberFormat="1" applyFont="1" applyFill="1" applyBorder="1" applyAlignment="1">
      <alignment horizontal="center" vertical="center" wrapText="1"/>
    </xf>
    <xf numFmtId="166" fontId="17" fillId="2" borderId="18" xfId="0" applyNumberFormat="1" applyFont="1" applyFill="1" applyBorder="1" applyAlignment="1">
      <alignment horizontal="center" vertical="center" wrapText="1"/>
    </xf>
    <xf numFmtId="0" fontId="18" fillId="11" borderId="16" xfId="0" applyFont="1" applyFill="1" applyBorder="1" applyAlignment="1">
      <alignment horizontal="center" vertical="center"/>
    </xf>
    <xf numFmtId="0" fontId="23" fillId="0" borderId="0" xfId="0" applyFont="1" applyAlignment="1">
      <alignment horizontal="left"/>
    </xf>
    <xf numFmtId="165" fontId="23" fillId="0" borderId="0" xfId="9" applyFont="1" applyBorder="1" applyAlignment="1">
      <alignment horizontal="left"/>
    </xf>
    <xf numFmtId="0" fontId="22" fillId="0" borderId="0" xfId="8" applyFont="1" applyAlignment="1">
      <alignment horizontal="left"/>
    </xf>
    <xf numFmtId="0" fontId="11" fillId="0" borderId="0" xfId="3" applyAlignment="1">
      <alignment wrapText="1"/>
    </xf>
    <xf numFmtId="0" fontId="18"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8" fillId="11" borderId="16" xfId="0" applyFont="1" applyFill="1" applyBorder="1" applyAlignment="1">
      <alignment vertical="center"/>
    </xf>
    <xf numFmtId="0" fontId="4" fillId="0" borderId="0" xfId="0" applyFont="1" applyAlignment="1"/>
    <xf numFmtId="0" fontId="24" fillId="0" borderId="0" xfId="0" applyFont="1" applyAlignment="1"/>
    <xf numFmtId="0" fontId="4" fillId="2" borderId="21" xfId="0" applyFont="1" applyFill="1" applyBorder="1" applyAlignment="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1">
    <dxf>
      <fill>
        <patternFill>
          <bgColor theme="8"/>
        </patternFill>
      </fill>
      <border>
        <left/>
        <right/>
      </border>
    </dxf>
    <dxf>
      <fill>
        <patternFill>
          <bgColor theme="8" tint="0.59996337778862885"/>
        </patternFill>
      </fill>
      <border>
        <left/>
        <right/>
      </border>
    </dxf>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0"/>
      <tableStyleElement type="headerRow" dxfId="19"/>
      <tableStyleElement type="totalRow" dxfId="18"/>
      <tableStyleElement type="firstColumn" dxfId="17"/>
      <tableStyleElement type="lastColumn" dxfId="16"/>
      <tableStyleElement type="firstRowStripe" dxfId="15"/>
      <tableStyleElement type="secondRowStripe" dxfId="14"/>
      <tableStyleElement type="firstColumnStripe" dxfId="13"/>
      <tableStyleElement type="secondColumnStripe" dxfId="1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24</xdr:col>
      <xdr:colOff>121920</xdr:colOff>
      <xdr:row>1</xdr:row>
      <xdr:rowOff>15240</xdr:rowOff>
    </xdr:from>
    <xdr:to>
      <xdr:col>28</xdr:col>
      <xdr:colOff>43525</xdr:colOff>
      <xdr:row>2</xdr:row>
      <xdr:rowOff>373380</xdr:rowOff>
    </xdr:to>
    <xdr:pic>
      <xdr:nvPicPr>
        <xdr:cNvPr id="9" name="Graphic 8" descr="Badge 1 with solid fill">
          <a:extLst>
            <a:ext uri="{FF2B5EF4-FFF2-40B4-BE49-F238E27FC236}">
              <a16:creationId xmlns:a16="http://schemas.microsoft.com/office/drawing/2014/main" id="{DF02FEFB-2823-4D97-8729-7C8C472822A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73540" y="1158240"/>
          <a:ext cx="744565" cy="739140"/>
        </a:xfrm>
        <a:prstGeom prst="rect">
          <a:avLst/>
        </a:prstGeom>
      </xdr:spPr>
    </xdr:pic>
    <xdr:clientData/>
  </xdr:twoCellAnchor>
  <xdr:twoCellAnchor editAs="oneCell">
    <xdr:from>
      <xdr:col>36</xdr:col>
      <xdr:colOff>106680</xdr:colOff>
      <xdr:row>0</xdr:row>
      <xdr:rowOff>1112521</xdr:rowOff>
    </xdr:from>
    <xdr:to>
      <xdr:col>40</xdr:col>
      <xdr:colOff>53340</xdr:colOff>
      <xdr:row>2</xdr:row>
      <xdr:rowOff>368193</xdr:rowOff>
    </xdr:to>
    <xdr:pic>
      <xdr:nvPicPr>
        <xdr:cNvPr id="12" name="Graphic 11" descr="Badge 1 outline">
          <a:extLst>
            <a:ext uri="{FF2B5EF4-FFF2-40B4-BE49-F238E27FC236}">
              <a16:creationId xmlns:a16="http://schemas.microsoft.com/office/drawing/2014/main" id="{2DF5AEFF-2FDA-4612-B671-FCAB7F87D32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727180" y="1112521"/>
          <a:ext cx="769620" cy="779672"/>
        </a:xfrm>
        <a:prstGeom prst="rect">
          <a:avLst/>
        </a:prstGeom>
      </xdr:spPr>
    </xdr:pic>
    <xdr:clientData/>
  </xdr:twoCellAnchor>
  <xdr:twoCellAnchor editAs="oneCell">
    <xdr:from>
      <xdr:col>17</xdr:col>
      <xdr:colOff>142876</xdr:colOff>
      <xdr:row>16</xdr:row>
      <xdr:rowOff>0</xdr:rowOff>
    </xdr:from>
    <xdr:to>
      <xdr:col>20</xdr:col>
      <xdr:colOff>13583</xdr:colOff>
      <xdr:row>17</xdr:row>
      <xdr:rowOff>104775</xdr:rowOff>
    </xdr:to>
    <xdr:pic>
      <xdr:nvPicPr>
        <xdr:cNvPr id="15" name="Graphic 14" descr="Badge 1 with solid fill">
          <a:extLst>
            <a:ext uri="{FF2B5EF4-FFF2-40B4-BE49-F238E27FC236}">
              <a16:creationId xmlns:a16="http://schemas.microsoft.com/office/drawing/2014/main" id="{CCFFCD2D-411B-4528-A17B-95C1D0FA9EB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915276" y="6096000"/>
          <a:ext cx="499357" cy="485775"/>
        </a:xfrm>
        <a:prstGeom prst="rect">
          <a:avLst/>
        </a:prstGeom>
      </xdr:spPr>
    </xdr:pic>
    <xdr:clientData/>
  </xdr:twoCellAnchor>
  <xdr:twoCellAnchor editAs="oneCell">
    <xdr:from>
      <xdr:col>13</xdr:col>
      <xdr:colOff>123825</xdr:colOff>
      <xdr:row>9</xdr:row>
      <xdr:rowOff>171450</xdr:rowOff>
    </xdr:from>
    <xdr:to>
      <xdr:col>15</xdr:col>
      <xdr:colOff>161925</xdr:colOff>
      <xdr:row>10</xdr:row>
      <xdr:rowOff>244628</xdr:rowOff>
    </xdr:to>
    <xdr:pic>
      <xdr:nvPicPr>
        <xdr:cNvPr id="17" name="Graphic 16" descr="Badge 1 outline">
          <a:extLst>
            <a:ext uri="{FF2B5EF4-FFF2-40B4-BE49-F238E27FC236}">
              <a16:creationId xmlns:a16="http://schemas.microsoft.com/office/drawing/2014/main" id="{A3E40DB1-8223-4C91-82FF-F932EDA15B5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058025" y="3600450"/>
          <a:ext cx="457200" cy="454178"/>
        </a:xfrm>
        <a:prstGeom prst="rect">
          <a:avLst/>
        </a:prstGeom>
      </xdr:spPr>
    </xdr:pic>
    <xdr:clientData/>
  </xdr:twoCellAnchor>
  <xdr:twoCellAnchor>
    <xdr:from>
      <xdr:col>21</xdr:col>
      <xdr:colOff>190502</xdr:colOff>
      <xdr:row>20</xdr:row>
      <xdr:rowOff>200025</xdr:rowOff>
    </xdr:from>
    <xdr:to>
      <xdr:col>23</xdr:col>
      <xdr:colOff>180976</xdr:colOff>
      <xdr:row>21</xdr:row>
      <xdr:rowOff>228601</xdr:rowOff>
    </xdr:to>
    <xdr:sp macro="" textlink="">
      <xdr:nvSpPr>
        <xdr:cNvPr id="22" name="Oval 21">
          <a:extLst>
            <a:ext uri="{FF2B5EF4-FFF2-40B4-BE49-F238E27FC236}">
              <a16:creationId xmlns:a16="http://schemas.microsoft.com/office/drawing/2014/main" id="{5BFF7FB3-C892-BFA2-D9DE-4B39C7B92D00}"/>
            </a:ext>
          </a:extLst>
        </xdr:cNvPr>
        <xdr:cNvSpPr/>
      </xdr:nvSpPr>
      <xdr:spPr>
        <a:xfrm>
          <a:off x="8801102" y="7820025"/>
          <a:ext cx="409574" cy="409576"/>
        </a:xfrm>
        <a:prstGeom prst="ellipse">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400"/>
            <a:t>2</a:t>
          </a:r>
          <a:endParaRPr lang="en-US" sz="800"/>
        </a:p>
      </xdr:txBody>
    </xdr:sp>
    <xdr:clientData/>
  </xdr:twoCellAnchor>
  <xdr:twoCellAnchor>
    <xdr:from>
      <xdr:col>23</xdr:col>
      <xdr:colOff>0</xdr:colOff>
      <xdr:row>16</xdr:row>
      <xdr:rowOff>0</xdr:rowOff>
    </xdr:from>
    <xdr:to>
      <xdr:col>24</xdr:col>
      <xdr:colOff>200024</xdr:colOff>
      <xdr:row>17</xdr:row>
      <xdr:rowOff>28576</xdr:rowOff>
    </xdr:to>
    <xdr:sp macro="" textlink="">
      <xdr:nvSpPr>
        <xdr:cNvPr id="26" name="Oval 25">
          <a:extLst>
            <a:ext uri="{FF2B5EF4-FFF2-40B4-BE49-F238E27FC236}">
              <a16:creationId xmlns:a16="http://schemas.microsoft.com/office/drawing/2014/main" id="{B3109277-D2CA-434B-BA59-38D59B975501}"/>
            </a:ext>
          </a:extLst>
        </xdr:cNvPr>
        <xdr:cNvSpPr/>
      </xdr:nvSpPr>
      <xdr:spPr>
        <a:xfrm>
          <a:off x="9029700" y="6096000"/>
          <a:ext cx="409574" cy="409576"/>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w="0"/>
              <a:solidFill>
                <a:schemeClr val="tx1"/>
              </a:solidFill>
              <a:effectLst>
                <a:outerShdw blurRad="38100" dist="19050" dir="2700000" algn="tl" rotWithShape="0">
                  <a:schemeClr val="dk1">
                    <a:alpha val="40000"/>
                  </a:schemeClr>
                </a:outerShdw>
              </a:effectLst>
              <a:uLnTx/>
              <a:uFillTx/>
              <a:latin typeface="Arial"/>
              <a:ea typeface="+mn-ea"/>
              <a:cs typeface="+mn-cs"/>
            </a:rPr>
            <a:t>2</a:t>
          </a:r>
          <a:endParaRPr kumimoji="0" lang="en-US" sz="800" b="0" i="0" u="none" strike="noStrike" kern="0" cap="none" spc="0" normalizeH="0" baseline="0" noProof="0">
            <a:ln>
              <a:noFill/>
            </a:ln>
            <a:solidFill>
              <a:srgbClr val="FFFFFF"/>
            </a:solidFill>
            <a:effectLst/>
            <a:uLnTx/>
            <a:uFillTx/>
            <a:latin typeface="Arial"/>
            <a:ea typeface="+mn-ea"/>
            <a:cs typeface="+mn-cs"/>
          </a:endParaRPr>
        </a:p>
      </xdr:txBody>
    </xdr:sp>
    <xdr:clientData/>
  </xdr:twoCellAnchor>
  <xdr:twoCellAnchor>
    <xdr:from>
      <xdr:col>23</xdr:col>
      <xdr:colOff>114299</xdr:colOff>
      <xdr:row>23</xdr:row>
      <xdr:rowOff>57151</xdr:rowOff>
    </xdr:from>
    <xdr:to>
      <xdr:col>27</xdr:col>
      <xdr:colOff>161924</xdr:colOff>
      <xdr:row>25</xdr:row>
      <xdr:rowOff>238125</xdr:rowOff>
    </xdr:to>
    <xdr:sp macro="" textlink="">
      <xdr:nvSpPr>
        <xdr:cNvPr id="28" name="Oval 27">
          <a:extLst>
            <a:ext uri="{FF2B5EF4-FFF2-40B4-BE49-F238E27FC236}">
              <a16:creationId xmlns:a16="http://schemas.microsoft.com/office/drawing/2014/main" id="{68994E71-D56A-4542-8696-3D39E1FF3470}"/>
            </a:ext>
          </a:extLst>
        </xdr:cNvPr>
        <xdr:cNvSpPr/>
      </xdr:nvSpPr>
      <xdr:spPr>
        <a:xfrm>
          <a:off x="9143999" y="8820151"/>
          <a:ext cx="885825" cy="942974"/>
        </a:xfrm>
        <a:prstGeom prst="ellipse">
          <a:avLst/>
        </a:prstGeom>
        <a:solidFill>
          <a:srgbClr val="000000"/>
        </a:solidFill>
        <a:ln w="12700" cap="flat" cmpd="sng" algn="ctr">
          <a:solidFill>
            <a:srgbClr val="000000">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3600" b="0" i="0" u="none" strike="noStrike" kern="0" cap="none" spc="0" normalizeH="0" baseline="0" noProof="0">
              <a:ln>
                <a:noFill/>
              </a:ln>
              <a:solidFill>
                <a:srgbClr val="FFFFFF"/>
              </a:solidFill>
              <a:effectLst/>
              <a:uLnTx/>
              <a:uFillTx/>
              <a:latin typeface="Arial"/>
              <a:ea typeface="+mn-ea"/>
              <a:cs typeface="+mn-cs"/>
            </a:rPr>
            <a:t>3</a:t>
          </a:r>
          <a:endParaRPr kumimoji="0" lang="en-US" sz="1600" b="0" i="0" u="none" strike="noStrike" kern="0" cap="none" spc="0" normalizeH="0" baseline="0" noProof="0">
            <a:ln>
              <a:noFill/>
            </a:ln>
            <a:solidFill>
              <a:srgbClr val="FFFFFF"/>
            </a:solidFill>
            <a:effectLst/>
            <a:uLnTx/>
            <a:uFillTx/>
            <a:latin typeface="Arial"/>
            <a:ea typeface="+mn-ea"/>
            <a:cs typeface="+mn-cs"/>
          </a:endParaRPr>
        </a:p>
      </xdr:txBody>
    </xdr:sp>
    <xdr:clientData/>
  </xdr:twoCellAnchor>
  <xdr:twoCellAnchor>
    <xdr:from>
      <xdr:col>27</xdr:col>
      <xdr:colOff>142875</xdr:colOff>
      <xdr:row>20</xdr:row>
      <xdr:rowOff>161925</xdr:rowOff>
    </xdr:from>
    <xdr:to>
      <xdr:col>29</xdr:col>
      <xdr:colOff>133349</xdr:colOff>
      <xdr:row>21</xdr:row>
      <xdr:rowOff>190501</xdr:rowOff>
    </xdr:to>
    <xdr:sp macro="" textlink="">
      <xdr:nvSpPr>
        <xdr:cNvPr id="30" name="Oval 29">
          <a:extLst>
            <a:ext uri="{FF2B5EF4-FFF2-40B4-BE49-F238E27FC236}">
              <a16:creationId xmlns:a16="http://schemas.microsoft.com/office/drawing/2014/main" id="{1966F749-AEF3-4C08-BFF5-D3B5B8D79B5E}"/>
            </a:ext>
          </a:extLst>
        </xdr:cNvPr>
        <xdr:cNvSpPr/>
      </xdr:nvSpPr>
      <xdr:spPr>
        <a:xfrm>
          <a:off x="10010775" y="7781925"/>
          <a:ext cx="409574" cy="409576"/>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w="0"/>
              <a:solidFill>
                <a:schemeClr val="tx1"/>
              </a:solidFill>
              <a:effectLst>
                <a:outerShdw blurRad="38100" dist="19050" dir="2700000" algn="tl" rotWithShape="0">
                  <a:schemeClr val="dk1">
                    <a:alpha val="40000"/>
                  </a:schemeClr>
                </a:outerShdw>
              </a:effectLst>
              <a:uLnTx/>
              <a:uFillTx/>
              <a:latin typeface="Arial"/>
              <a:ea typeface="+mn-ea"/>
              <a:cs typeface="+mn-cs"/>
            </a:rPr>
            <a:t>3</a:t>
          </a:r>
          <a:endParaRPr kumimoji="0" lang="en-US" sz="800" b="0" i="0" u="none" strike="noStrike" kern="0" cap="none" spc="0" normalizeH="0" baseline="0" noProof="0">
            <a:ln w="0"/>
            <a:solidFill>
              <a:schemeClr val="tx1"/>
            </a:solidFill>
            <a:effectLst>
              <a:outerShdw blurRad="38100" dist="19050" dir="2700000" algn="tl" rotWithShape="0">
                <a:schemeClr val="dk1">
                  <a:alpha val="40000"/>
                </a:schemeClr>
              </a:outerShdw>
            </a:effectLst>
            <a:uLnTx/>
            <a:uFillTx/>
            <a:latin typeface="Arial"/>
            <a:ea typeface="+mn-ea"/>
            <a:cs typeface="+mn-cs"/>
          </a:endParaRPr>
        </a:p>
      </xdr:txBody>
    </xdr:sp>
    <xdr:clientData/>
  </xdr:twoCellAnchor>
  <xdr:twoCellAnchor>
    <xdr:from>
      <xdr:col>25</xdr:col>
      <xdr:colOff>57150</xdr:colOff>
      <xdr:row>29</xdr:row>
      <xdr:rowOff>76200</xdr:rowOff>
    </xdr:from>
    <xdr:to>
      <xdr:col>29</xdr:col>
      <xdr:colOff>200024</xdr:colOff>
      <xdr:row>32</xdr:row>
      <xdr:rowOff>28576</xdr:rowOff>
    </xdr:to>
    <xdr:sp macro="" textlink="">
      <xdr:nvSpPr>
        <xdr:cNvPr id="32" name="Oval 31">
          <a:extLst>
            <a:ext uri="{FF2B5EF4-FFF2-40B4-BE49-F238E27FC236}">
              <a16:creationId xmlns:a16="http://schemas.microsoft.com/office/drawing/2014/main" id="{5C24A7A3-A221-4172-B3C6-C33134A591F4}"/>
            </a:ext>
          </a:extLst>
        </xdr:cNvPr>
        <xdr:cNvSpPr/>
      </xdr:nvSpPr>
      <xdr:spPr>
        <a:xfrm>
          <a:off x="9505950" y="11125200"/>
          <a:ext cx="981074" cy="1095376"/>
        </a:xfrm>
        <a:prstGeom prst="ellipse">
          <a:avLst/>
        </a:prstGeom>
        <a:solidFill>
          <a:srgbClr val="000000"/>
        </a:solidFill>
        <a:ln w="12700" cap="flat" cmpd="sng" algn="ctr">
          <a:solidFill>
            <a:srgbClr val="000000">
              <a:shade val="15000"/>
            </a:srgbClr>
          </a:solidFill>
          <a:prstDash val="solid"/>
          <a:miter lim="800000"/>
        </a:ln>
        <a:effectLst/>
      </xdr:spPr>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4400" b="0" i="0" u="none" strike="noStrike" kern="0" cap="none" spc="0" normalizeH="0" baseline="0" noProof="0">
              <a:ln>
                <a:noFill/>
              </a:ln>
              <a:solidFill>
                <a:srgbClr val="FFFFFF"/>
              </a:solidFill>
              <a:effectLst/>
              <a:uLnTx/>
              <a:uFillTx/>
              <a:latin typeface="Arial"/>
              <a:ea typeface="+mn-ea"/>
              <a:cs typeface="+mn-cs"/>
            </a:rPr>
            <a:t>4</a:t>
          </a:r>
          <a:endParaRPr kumimoji="0" lang="en-US" sz="2000" b="0" i="0" u="none" strike="noStrike" kern="0" cap="none" spc="0" normalizeH="0" baseline="0" noProof="0">
            <a:ln>
              <a:noFill/>
            </a:ln>
            <a:solidFill>
              <a:srgbClr val="FFFFFF"/>
            </a:solidFill>
            <a:effectLst/>
            <a:uLnTx/>
            <a:uFillTx/>
            <a:latin typeface="Arial"/>
            <a:ea typeface="+mn-ea"/>
            <a:cs typeface="+mn-cs"/>
          </a:endParaRPr>
        </a:p>
      </xdr:txBody>
    </xdr:sp>
    <xdr:clientData/>
  </xdr:twoCellAnchor>
  <xdr:twoCellAnchor>
    <xdr:from>
      <xdr:col>30</xdr:col>
      <xdr:colOff>123824</xdr:colOff>
      <xdr:row>23</xdr:row>
      <xdr:rowOff>9525</xdr:rowOff>
    </xdr:from>
    <xdr:to>
      <xdr:col>36</xdr:col>
      <xdr:colOff>19049</xdr:colOff>
      <xdr:row>25</xdr:row>
      <xdr:rowOff>371475</xdr:rowOff>
    </xdr:to>
    <xdr:sp macro="" textlink="">
      <xdr:nvSpPr>
        <xdr:cNvPr id="34" name="Oval 33">
          <a:extLst>
            <a:ext uri="{FF2B5EF4-FFF2-40B4-BE49-F238E27FC236}">
              <a16:creationId xmlns:a16="http://schemas.microsoft.com/office/drawing/2014/main" id="{D98223B6-CE75-4EE1-98E8-4171CEC5569C}"/>
            </a:ext>
          </a:extLst>
        </xdr:cNvPr>
        <xdr:cNvSpPr/>
      </xdr:nvSpPr>
      <xdr:spPr>
        <a:xfrm>
          <a:off x="10620374" y="8772525"/>
          <a:ext cx="1152525" cy="1123950"/>
        </a:xfrm>
        <a:prstGeom prst="ellipse">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4400" b="0" i="0" u="none" strike="noStrike" kern="0" cap="none" spc="0" normalizeH="0" baseline="0" noProof="0">
              <a:ln w="0"/>
              <a:solidFill>
                <a:schemeClr val="tx1"/>
              </a:solidFill>
              <a:effectLst>
                <a:outerShdw blurRad="38100" dist="19050" dir="2700000" algn="tl" rotWithShape="0">
                  <a:schemeClr val="dk1">
                    <a:alpha val="40000"/>
                  </a:schemeClr>
                </a:outerShdw>
              </a:effectLst>
              <a:uLnTx/>
              <a:uFillTx/>
              <a:latin typeface="Arial"/>
              <a:ea typeface="+mn-ea"/>
              <a:cs typeface="+mn-cs"/>
            </a:rPr>
            <a:t>4</a:t>
          </a:r>
          <a:endParaRPr kumimoji="0" lang="en-US" sz="2000" b="0" i="0" u="none" strike="noStrike" kern="0" cap="none" spc="0" normalizeH="0" baseline="0" noProof="0">
            <a:ln w="0"/>
            <a:solidFill>
              <a:schemeClr val="tx1"/>
            </a:solidFill>
            <a:effectLst>
              <a:outerShdw blurRad="38100" dist="19050" dir="2700000" algn="tl" rotWithShape="0">
                <a:schemeClr val="dk1">
                  <a:alpha val="40000"/>
                </a:schemeClr>
              </a:outerShdw>
            </a:effectLst>
            <a:uLnTx/>
            <a:uFillTx/>
            <a:latin typeface="Arial"/>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2"/>
  <sheetViews>
    <sheetView showGridLines="0" tabSelected="1" showRuler="0" zoomScale="80" zoomScaleNormal="80" zoomScalePageLayoutView="70" workbookViewId="0">
      <selection activeCell="AR19" sqref="AR19"/>
    </sheetView>
  </sheetViews>
  <sheetFormatPr defaultColWidth="8.75" defaultRowHeight="30" customHeight="1"/>
  <cols>
    <col min="1" max="1" width="2.75" style="12" customWidth="1"/>
    <col min="2" max="2" width="22.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3"/>
      <c r="B1" s="84" t="s">
        <v>0</v>
      </c>
      <c r="C1" s="15"/>
      <c r="D1" s="16"/>
      <c r="E1" s="17"/>
      <c r="F1" s="18"/>
      <c r="H1" s="1"/>
      <c r="I1" s="108" t="s">
        <v>1</v>
      </c>
      <c r="J1" s="113"/>
      <c r="K1" s="113"/>
      <c r="L1" s="113"/>
      <c r="M1" s="113"/>
      <c r="N1" s="113"/>
      <c r="O1" s="113"/>
      <c r="P1" s="21"/>
      <c r="Q1" s="107">
        <v>46118</v>
      </c>
      <c r="R1" s="114"/>
      <c r="S1" s="114"/>
      <c r="T1" s="114"/>
      <c r="U1" s="114"/>
      <c r="V1" s="114"/>
      <c r="W1" s="114"/>
      <c r="X1" s="114"/>
      <c r="Y1" s="114"/>
      <c r="Z1" s="114"/>
    </row>
    <row r="2" spans="1:64" ht="30" customHeight="1">
      <c r="B2" s="83" t="s">
        <v>2</v>
      </c>
      <c r="C2" s="92" t="s">
        <v>3</v>
      </c>
      <c r="D2" s="19"/>
      <c r="E2" s="20"/>
      <c r="F2" s="19"/>
      <c r="I2" s="108" t="s">
        <v>4</v>
      </c>
      <c r="J2" s="113"/>
      <c r="K2" s="113"/>
      <c r="L2" s="113"/>
      <c r="M2" s="113"/>
      <c r="N2" s="113"/>
      <c r="O2" s="113"/>
      <c r="P2" s="21"/>
      <c r="Q2" s="106">
        <v>1</v>
      </c>
      <c r="R2" s="114"/>
      <c r="S2" s="114"/>
      <c r="T2" s="114"/>
      <c r="U2" s="114"/>
      <c r="V2" s="114"/>
      <c r="W2" s="114"/>
      <c r="X2" s="114"/>
      <c r="Y2" s="114"/>
      <c r="Z2" s="114"/>
    </row>
    <row r="3" spans="1:64" s="23" customFormat="1" ht="30" customHeight="1">
      <c r="A3" s="12"/>
      <c r="B3" s="22" t="s">
        <v>5</v>
      </c>
      <c r="D3" s="24"/>
      <c r="E3" s="25"/>
      <c r="AC3" s="23" t="s">
        <v>6</v>
      </c>
      <c r="AO3" s="23" t="s">
        <v>7</v>
      </c>
    </row>
    <row r="4" spans="1:64" s="23" customFormat="1" ht="30" customHeight="1">
      <c r="A4" s="13"/>
      <c r="B4" s="26" t="s">
        <v>8</v>
      </c>
      <c r="E4" s="27"/>
      <c r="I4" s="104">
        <f>I5</f>
        <v>46118</v>
      </c>
      <c r="J4" s="102"/>
      <c r="K4" s="102"/>
      <c r="L4" s="102"/>
      <c r="M4" s="102"/>
      <c r="N4" s="102"/>
      <c r="O4" s="102"/>
      <c r="P4" s="102">
        <f>P5</f>
        <v>46125</v>
      </c>
      <c r="Q4" s="102"/>
      <c r="R4" s="102"/>
      <c r="S4" s="102"/>
      <c r="T4" s="102"/>
      <c r="U4" s="102"/>
      <c r="V4" s="102"/>
      <c r="W4" s="102">
        <f>W5</f>
        <v>46132</v>
      </c>
      <c r="X4" s="102"/>
      <c r="Y4" s="102"/>
      <c r="Z4" s="102"/>
      <c r="AA4" s="102"/>
      <c r="AB4" s="102"/>
      <c r="AC4" s="102"/>
      <c r="AD4" s="102">
        <f>AD5</f>
        <v>46139</v>
      </c>
      <c r="AE4" s="102"/>
      <c r="AF4" s="102"/>
      <c r="AG4" s="102"/>
      <c r="AH4" s="102"/>
      <c r="AI4" s="102"/>
      <c r="AJ4" s="102"/>
      <c r="AK4" s="102">
        <f>AK5</f>
        <v>46146</v>
      </c>
      <c r="AL4" s="102"/>
      <c r="AM4" s="102"/>
      <c r="AN4" s="102"/>
      <c r="AO4" s="102"/>
      <c r="AP4" s="102"/>
      <c r="AQ4" s="102"/>
      <c r="AR4" s="102">
        <f>AR5</f>
        <v>46153</v>
      </c>
      <c r="AS4" s="102"/>
      <c r="AT4" s="102"/>
      <c r="AU4" s="102"/>
      <c r="AV4" s="102"/>
      <c r="AW4" s="102"/>
      <c r="AX4" s="102"/>
      <c r="AY4" s="102">
        <f>AY5</f>
        <v>46160</v>
      </c>
      <c r="AZ4" s="102"/>
      <c r="BA4" s="102"/>
      <c r="BB4" s="102"/>
      <c r="BC4" s="102"/>
      <c r="BD4" s="102"/>
      <c r="BE4" s="102"/>
      <c r="BF4" s="102">
        <f>BF5</f>
        <v>46167</v>
      </c>
      <c r="BG4" s="102"/>
      <c r="BH4" s="102"/>
      <c r="BI4" s="102"/>
      <c r="BJ4" s="102"/>
      <c r="BK4" s="102"/>
      <c r="BL4" s="103"/>
    </row>
    <row r="5" spans="1:64" s="23" customFormat="1" ht="15" customHeight="1">
      <c r="A5" s="109"/>
      <c r="B5" s="110" t="s">
        <v>9</v>
      </c>
      <c r="C5" s="112" t="s">
        <v>10</v>
      </c>
      <c r="D5" s="105" t="s">
        <v>11</v>
      </c>
      <c r="E5" s="105" t="s">
        <v>12</v>
      </c>
      <c r="F5" s="105" t="s">
        <v>13</v>
      </c>
      <c r="I5" s="28">
        <f>Project_Start-WEEKDAY(Project_Start,1)+2+7*(Display_Week-1)</f>
        <v>46118</v>
      </c>
      <c r="J5" s="28">
        <f>I5+1</f>
        <v>46119</v>
      </c>
      <c r="K5" s="28">
        <f t="shared" ref="K5:AX5" si="0">J5+1</f>
        <v>46120</v>
      </c>
      <c r="L5" s="28">
        <f t="shared" si="0"/>
        <v>46121</v>
      </c>
      <c r="M5" s="28">
        <f t="shared" si="0"/>
        <v>46122</v>
      </c>
      <c r="N5" s="28">
        <f t="shared" si="0"/>
        <v>46123</v>
      </c>
      <c r="O5" s="29">
        <f t="shared" si="0"/>
        <v>46124</v>
      </c>
      <c r="P5" s="30">
        <f>O5+1</f>
        <v>46125</v>
      </c>
      <c r="Q5" s="28">
        <f>P5+1</f>
        <v>46126</v>
      </c>
      <c r="R5" s="28">
        <f t="shared" si="0"/>
        <v>46127</v>
      </c>
      <c r="S5" s="28">
        <f t="shared" si="0"/>
        <v>46128</v>
      </c>
      <c r="T5" s="28">
        <f t="shared" si="0"/>
        <v>46129</v>
      </c>
      <c r="U5" s="28">
        <f t="shared" si="0"/>
        <v>46130</v>
      </c>
      <c r="V5" s="29">
        <f t="shared" si="0"/>
        <v>46131</v>
      </c>
      <c r="W5" s="30">
        <f>V5+1</f>
        <v>46132</v>
      </c>
      <c r="X5" s="28">
        <f>W5+1</f>
        <v>46133</v>
      </c>
      <c r="Y5" s="28">
        <f t="shared" si="0"/>
        <v>46134</v>
      </c>
      <c r="Z5" s="28">
        <f t="shared" si="0"/>
        <v>46135</v>
      </c>
      <c r="AA5" s="28">
        <f t="shared" si="0"/>
        <v>46136</v>
      </c>
      <c r="AB5" s="28">
        <f t="shared" si="0"/>
        <v>46137</v>
      </c>
      <c r="AC5" s="29">
        <f t="shared" si="0"/>
        <v>46138</v>
      </c>
      <c r="AD5" s="30">
        <f>AC5+1</f>
        <v>46139</v>
      </c>
      <c r="AE5" s="28">
        <f>AD5+1</f>
        <v>46140</v>
      </c>
      <c r="AF5" s="28">
        <f t="shared" si="0"/>
        <v>46141</v>
      </c>
      <c r="AG5" s="28">
        <f t="shared" si="0"/>
        <v>46142</v>
      </c>
      <c r="AH5" s="28">
        <f t="shared" si="0"/>
        <v>46143</v>
      </c>
      <c r="AI5" s="28">
        <f t="shared" si="0"/>
        <v>46144</v>
      </c>
      <c r="AJ5" s="29">
        <f t="shared" si="0"/>
        <v>46145</v>
      </c>
      <c r="AK5" s="30">
        <f>AJ5+1</f>
        <v>46146</v>
      </c>
      <c r="AL5" s="28">
        <f>AK5+1</f>
        <v>46147</v>
      </c>
      <c r="AM5" s="28">
        <f t="shared" si="0"/>
        <v>46148</v>
      </c>
      <c r="AN5" s="28">
        <f t="shared" si="0"/>
        <v>46149</v>
      </c>
      <c r="AO5" s="28">
        <f t="shared" si="0"/>
        <v>46150</v>
      </c>
      <c r="AP5" s="28">
        <f t="shared" si="0"/>
        <v>46151</v>
      </c>
      <c r="AQ5" s="29">
        <f t="shared" si="0"/>
        <v>46152</v>
      </c>
      <c r="AR5" s="30">
        <f>AQ5+1</f>
        <v>46153</v>
      </c>
      <c r="AS5" s="28">
        <f>AR5+1</f>
        <v>46154</v>
      </c>
      <c r="AT5" s="28">
        <f t="shared" si="0"/>
        <v>46155</v>
      </c>
      <c r="AU5" s="28">
        <f t="shared" si="0"/>
        <v>46156</v>
      </c>
      <c r="AV5" s="28">
        <f t="shared" si="0"/>
        <v>46157</v>
      </c>
      <c r="AW5" s="28">
        <f t="shared" si="0"/>
        <v>46158</v>
      </c>
      <c r="AX5" s="29">
        <f t="shared" si="0"/>
        <v>46159</v>
      </c>
      <c r="AY5" s="30">
        <f>AX5+1</f>
        <v>46160</v>
      </c>
      <c r="AZ5" s="28">
        <f>AY5+1</f>
        <v>46161</v>
      </c>
      <c r="BA5" s="28">
        <f t="shared" ref="BA5:BE5" si="1">AZ5+1</f>
        <v>46162</v>
      </c>
      <c r="BB5" s="28">
        <f t="shared" si="1"/>
        <v>46163</v>
      </c>
      <c r="BC5" s="28">
        <f t="shared" si="1"/>
        <v>46164</v>
      </c>
      <c r="BD5" s="28">
        <f t="shared" si="1"/>
        <v>46165</v>
      </c>
      <c r="BE5" s="29">
        <f t="shared" si="1"/>
        <v>46166</v>
      </c>
      <c r="BF5" s="30">
        <f>BE5+1</f>
        <v>46167</v>
      </c>
      <c r="BG5" s="28">
        <f>BF5+1</f>
        <v>46168</v>
      </c>
      <c r="BH5" s="28">
        <f t="shared" ref="BH5:BL5" si="2">BG5+1</f>
        <v>46169</v>
      </c>
      <c r="BI5" s="28">
        <f t="shared" si="2"/>
        <v>46170</v>
      </c>
      <c r="BJ5" s="28">
        <f t="shared" si="2"/>
        <v>46171</v>
      </c>
      <c r="BK5" s="28">
        <f t="shared" si="2"/>
        <v>46172</v>
      </c>
      <c r="BL5" s="28">
        <f t="shared" si="2"/>
        <v>46173</v>
      </c>
    </row>
    <row r="6" spans="1:64" s="23" customFormat="1" ht="15" customHeight="1" thickBot="1">
      <c r="A6" s="109"/>
      <c r="B6" s="111"/>
      <c r="C6" s="115"/>
      <c r="D6" s="115"/>
      <c r="E6" s="115"/>
      <c r="F6" s="115"/>
      <c r="I6" s="31" t="str">
        <f t="shared" ref="I6:AN6" si="3">LEFT(TEXT(I5,"ddd"),1)</f>
        <v>M</v>
      </c>
      <c r="J6" s="32" t="str">
        <f t="shared" si="3"/>
        <v>T</v>
      </c>
      <c r="K6" s="32" t="str">
        <f t="shared" si="3"/>
        <v>W</v>
      </c>
      <c r="L6" s="32" t="str">
        <f t="shared" si="3"/>
        <v>T</v>
      </c>
      <c r="M6" s="32" t="str">
        <f t="shared" si="3"/>
        <v>F</v>
      </c>
      <c r="N6" s="32" t="str">
        <f t="shared" si="3"/>
        <v>S</v>
      </c>
      <c r="O6" s="32" t="str">
        <f t="shared" si="3"/>
        <v>S</v>
      </c>
      <c r="P6" s="32" t="str">
        <f t="shared" si="3"/>
        <v>M</v>
      </c>
      <c r="Q6" s="32" t="str">
        <f t="shared" si="3"/>
        <v>T</v>
      </c>
      <c r="R6" s="32" t="str">
        <f t="shared" si="3"/>
        <v>W</v>
      </c>
      <c r="S6" s="32" t="str">
        <f t="shared" si="3"/>
        <v>T</v>
      </c>
      <c r="T6" s="32" t="str">
        <f t="shared" si="3"/>
        <v>F</v>
      </c>
      <c r="U6" s="32" t="str">
        <f t="shared" si="3"/>
        <v>S</v>
      </c>
      <c r="V6" s="32" t="str">
        <f t="shared" si="3"/>
        <v>S</v>
      </c>
      <c r="W6" s="32" t="str">
        <f t="shared" si="3"/>
        <v>M</v>
      </c>
      <c r="X6" s="32" t="str">
        <f t="shared" si="3"/>
        <v>T</v>
      </c>
      <c r="Y6" s="32" t="str">
        <f t="shared" si="3"/>
        <v>W</v>
      </c>
      <c r="Z6" s="32" t="str">
        <f t="shared" si="3"/>
        <v>T</v>
      </c>
      <c r="AA6" s="32" t="str">
        <f t="shared" si="3"/>
        <v>F</v>
      </c>
      <c r="AB6" s="32" t="str">
        <f t="shared" si="3"/>
        <v>S</v>
      </c>
      <c r="AC6" s="32" t="str">
        <f t="shared" si="3"/>
        <v>S</v>
      </c>
      <c r="AD6" s="32" t="str">
        <f t="shared" si="3"/>
        <v>M</v>
      </c>
      <c r="AE6" s="32" t="str">
        <f t="shared" si="3"/>
        <v>T</v>
      </c>
      <c r="AF6" s="32" t="str">
        <f t="shared" si="3"/>
        <v>W</v>
      </c>
      <c r="AG6" s="32" t="str">
        <f t="shared" si="3"/>
        <v>T</v>
      </c>
      <c r="AH6" s="32" t="str">
        <f t="shared" si="3"/>
        <v>F</v>
      </c>
      <c r="AI6" s="32" t="str">
        <f t="shared" si="3"/>
        <v>S</v>
      </c>
      <c r="AJ6" s="32" t="str">
        <f t="shared" si="3"/>
        <v>S</v>
      </c>
      <c r="AK6" s="32" t="str">
        <f t="shared" si="3"/>
        <v>M</v>
      </c>
      <c r="AL6" s="32" t="str">
        <f t="shared" si="3"/>
        <v>T</v>
      </c>
      <c r="AM6" s="32" t="str">
        <f t="shared" si="3"/>
        <v>W</v>
      </c>
      <c r="AN6" s="32" t="str">
        <f t="shared" si="3"/>
        <v>T</v>
      </c>
      <c r="AO6" s="32" t="str">
        <f t="shared" ref="AO6:BL6" si="4">LEFT(TEXT(AO5,"ddd"),1)</f>
        <v>F</v>
      </c>
      <c r="AP6" s="32" t="str">
        <f t="shared" si="4"/>
        <v>S</v>
      </c>
      <c r="AQ6" s="32" t="str">
        <f t="shared" si="4"/>
        <v>S</v>
      </c>
      <c r="AR6" s="32" t="str">
        <f t="shared" si="4"/>
        <v>M</v>
      </c>
      <c r="AS6" s="32" t="str">
        <f t="shared" si="4"/>
        <v>T</v>
      </c>
      <c r="AT6" s="32" t="str">
        <f t="shared" si="4"/>
        <v>W</v>
      </c>
      <c r="AU6" s="32" t="str">
        <f t="shared" si="4"/>
        <v>T</v>
      </c>
      <c r="AV6" s="32" t="str">
        <f t="shared" si="4"/>
        <v>F</v>
      </c>
      <c r="AW6" s="32" t="str">
        <f t="shared" si="4"/>
        <v>S</v>
      </c>
      <c r="AX6" s="32" t="str">
        <f t="shared" si="4"/>
        <v>S</v>
      </c>
      <c r="AY6" s="32" t="str">
        <f t="shared" si="4"/>
        <v>M</v>
      </c>
      <c r="AZ6" s="32" t="str">
        <f t="shared" si="4"/>
        <v>T</v>
      </c>
      <c r="BA6" s="32" t="str">
        <f t="shared" si="4"/>
        <v>W</v>
      </c>
      <c r="BB6" s="32" t="str">
        <f t="shared" si="4"/>
        <v>T</v>
      </c>
      <c r="BC6" s="32" t="str">
        <f t="shared" si="4"/>
        <v>F</v>
      </c>
      <c r="BD6" s="32" t="str">
        <f t="shared" si="4"/>
        <v>S</v>
      </c>
      <c r="BE6" s="32" t="str">
        <f t="shared" si="4"/>
        <v>S</v>
      </c>
      <c r="BF6" s="32" t="str">
        <f t="shared" si="4"/>
        <v>M</v>
      </c>
      <c r="BG6" s="32" t="str">
        <f t="shared" si="4"/>
        <v>T</v>
      </c>
      <c r="BH6" s="32" t="str">
        <f t="shared" si="4"/>
        <v>W</v>
      </c>
      <c r="BI6" s="32" t="str">
        <f t="shared" si="4"/>
        <v>T</v>
      </c>
      <c r="BJ6" s="32" t="str">
        <f t="shared" si="4"/>
        <v>F</v>
      </c>
      <c r="BK6" s="32" t="str">
        <f t="shared" si="4"/>
        <v>S</v>
      </c>
      <c r="BL6" s="33" t="str">
        <f t="shared" si="4"/>
        <v>S</v>
      </c>
    </row>
    <row r="7" spans="1:64" s="23" customFormat="1" ht="30" hidden="1" customHeight="1" thickBot="1">
      <c r="A7" s="12" t="s">
        <v>14</v>
      </c>
      <c r="B7" s="34"/>
      <c r="C7" s="35"/>
      <c r="D7" s="34"/>
      <c r="E7" s="34"/>
      <c r="F7" s="34"/>
      <c r="H7" s="23" t="str">
        <f ca="1">IF(OR(ISBLANK(task_start),ISBLANK(task_end)),"",task_end-task_start+1)</f>
        <v/>
      </c>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row>
    <row r="8" spans="1:64" s="43" customFormat="1" ht="30" customHeight="1" thickBot="1">
      <c r="A8" s="13"/>
      <c r="B8" s="37" t="s">
        <v>15</v>
      </c>
      <c r="C8" s="38"/>
      <c r="D8" s="39"/>
      <c r="E8" s="40"/>
      <c r="F8" s="41"/>
      <c r="G8" s="14"/>
      <c r="H8" s="4" t="str">
        <f t="shared" ref="H8:H28" ca="1" si="5">IF(OR(ISBLANK(task_start),ISBLANK(task_end)),"",task_end-task_start+1)</f>
        <v/>
      </c>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row>
    <row r="9" spans="1:64" s="43" customFormat="1" ht="30" customHeight="1" thickBot="1">
      <c r="A9" s="13"/>
      <c r="B9" s="44" t="s">
        <v>16</v>
      </c>
      <c r="C9" s="45" t="s">
        <v>17</v>
      </c>
      <c r="D9" s="46">
        <v>1</v>
      </c>
      <c r="E9" s="47">
        <f>Project_Start</f>
        <v>46118</v>
      </c>
      <c r="F9" s="47">
        <f>E9+1</f>
        <v>46119</v>
      </c>
      <c r="G9" s="14"/>
      <c r="H9" s="4">
        <f t="shared" ca="1" si="5"/>
        <v>2</v>
      </c>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row>
    <row r="10" spans="1:64" s="43" customFormat="1" ht="30" customHeight="1" thickBot="1">
      <c r="A10" s="13"/>
      <c r="B10" s="49" t="s">
        <v>18</v>
      </c>
      <c r="C10" s="50" t="s">
        <v>19</v>
      </c>
      <c r="D10" s="51">
        <v>1</v>
      </c>
      <c r="E10" s="52">
        <f>F9</f>
        <v>46119</v>
      </c>
      <c r="F10" s="52">
        <f>E10+1</f>
        <v>46120</v>
      </c>
      <c r="G10" s="14"/>
      <c r="H10" s="4">
        <f t="shared" ca="1" si="5"/>
        <v>2</v>
      </c>
      <c r="I10" s="48"/>
      <c r="J10" s="48"/>
      <c r="K10" s="48"/>
      <c r="L10" s="48"/>
      <c r="M10" s="48"/>
      <c r="N10" s="48"/>
      <c r="O10" s="48"/>
      <c r="P10" s="48"/>
      <c r="Q10" s="48"/>
      <c r="R10" s="48"/>
      <c r="S10" s="48"/>
      <c r="T10" s="48"/>
      <c r="U10" s="53"/>
      <c r="V10" s="53"/>
      <c r="W10" s="48"/>
      <c r="X10" s="48"/>
      <c r="Y10" s="48"/>
      <c r="Z10" s="48"/>
      <c r="AA10" s="48"/>
      <c r="AB10" s="48"/>
      <c r="AC10" s="48"/>
      <c r="AD10" s="48"/>
      <c r="AE10" s="48"/>
      <c r="AF10" s="48"/>
      <c r="AG10" s="48"/>
      <c r="AH10" s="48"/>
      <c r="AI10" s="48"/>
      <c r="AJ10" s="48"/>
      <c r="AK10" s="48"/>
      <c r="AL10" s="48"/>
      <c r="AM10" s="48"/>
      <c r="AN10" s="48"/>
      <c r="AO10" s="48"/>
      <c r="AP10" s="48"/>
      <c r="AQ10" s="48"/>
      <c r="AR10" s="48"/>
      <c r="AS10" s="48"/>
      <c r="AT10" s="48"/>
      <c r="AU10" s="48"/>
      <c r="AV10" s="48"/>
      <c r="AW10" s="48"/>
      <c r="AX10" s="48"/>
      <c r="AY10" s="48"/>
      <c r="AZ10" s="48"/>
      <c r="BA10" s="48"/>
      <c r="BB10" s="48"/>
      <c r="BC10" s="48"/>
      <c r="BD10" s="48"/>
      <c r="BE10" s="48"/>
      <c r="BF10" s="48"/>
      <c r="BG10" s="48"/>
      <c r="BH10" s="48"/>
      <c r="BI10" s="48"/>
      <c r="BJ10" s="48"/>
      <c r="BK10" s="48"/>
      <c r="BL10" s="48"/>
    </row>
    <row r="11" spans="1:64" s="43" customFormat="1" ht="30" customHeight="1" thickBot="1">
      <c r="A11" s="12"/>
      <c r="B11" s="49" t="s">
        <v>20</v>
      </c>
      <c r="C11" s="50" t="s">
        <v>21</v>
      </c>
      <c r="D11" s="51">
        <v>1</v>
      </c>
      <c r="E11" s="52">
        <f>F10</f>
        <v>46120</v>
      </c>
      <c r="F11" s="52">
        <f>E11+2</f>
        <v>46122</v>
      </c>
      <c r="G11" s="14"/>
      <c r="H11" s="4">
        <f t="shared" ca="1" si="5"/>
        <v>3</v>
      </c>
      <c r="I11" s="48"/>
      <c r="J11" s="48"/>
      <c r="K11" s="48"/>
      <c r="L11" s="48"/>
      <c r="M11" s="48"/>
      <c r="N11" s="48"/>
      <c r="O11" s="48"/>
      <c r="P11" s="48"/>
      <c r="Q11" s="48"/>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c r="AP11" s="48"/>
      <c r="AQ11" s="48"/>
      <c r="AR11" s="48"/>
      <c r="AS11" s="48"/>
      <c r="AT11" s="48"/>
      <c r="AU11" s="48"/>
      <c r="AV11" s="48"/>
      <c r="AW11" s="48"/>
      <c r="AX11" s="48"/>
      <c r="AY11" s="48"/>
      <c r="AZ11" s="48"/>
      <c r="BA11" s="48"/>
      <c r="BB11" s="48"/>
      <c r="BC11" s="48"/>
      <c r="BD11" s="48"/>
      <c r="BE11" s="48"/>
      <c r="BF11" s="48"/>
      <c r="BG11" s="48"/>
      <c r="BH11" s="48"/>
      <c r="BI11" s="48"/>
      <c r="BJ11" s="48"/>
      <c r="BK11" s="48"/>
      <c r="BL11" s="48"/>
    </row>
    <row r="12" spans="1:64" s="43" customFormat="1" ht="30" customHeight="1" thickBot="1">
      <c r="A12" s="12"/>
      <c r="B12" s="49" t="s">
        <v>22</v>
      </c>
      <c r="C12" s="45" t="s">
        <v>17</v>
      </c>
      <c r="D12" s="51">
        <v>1</v>
      </c>
      <c r="E12" s="52">
        <f>F11</f>
        <v>46122</v>
      </c>
      <c r="F12" s="52">
        <f>E12+1</f>
        <v>46123</v>
      </c>
      <c r="G12" s="14"/>
      <c r="H12" s="4">
        <f t="shared" ca="1" si="5"/>
        <v>2</v>
      </c>
      <c r="I12" s="48"/>
      <c r="J12" s="48"/>
      <c r="K12" s="48"/>
      <c r="L12" s="48"/>
      <c r="M12" s="48"/>
      <c r="N12" s="48"/>
      <c r="O12" s="48"/>
      <c r="P12" s="48"/>
      <c r="Q12" s="48"/>
      <c r="R12" s="48"/>
      <c r="S12" s="48"/>
      <c r="T12" s="48"/>
      <c r="U12" s="48"/>
      <c r="V12" s="48"/>
      <c r="W12" s="48"/>
      <c r="X12" s="48"/>
      <c r="Y12" s="53"/>
      <c r="Z12" s="48"/>
      <c r="AA12" s="48"/>
      <c r="AB12" s="48"/>
      <c r="AC12" s="48"/>
      <c r="AD12" s="48"/>
      <c r="AE12" s="48"/>
      <c r="AF12" s="48"/>
      <c r="AG12" s="48"/>
      <c r="AH12" s="48"/>
      <c r="AI12" s="48"/>
      <c r="AJ12" s="48"/>
      <c r="AK12" s="48"/>
      <c r="AL12" s="48"/>
      <c r="AM12" s="48"/>
      <c r="AN12" s="48"/>
      <c r="AO12" s="48"/>
      <c r="AP12" s="48"/>
      <c r="AQ12" s="48"/>
      <c r="AR12" s="48"/>
      <c r="AS12" s="48"/>
      <c r="AT12" s="48"/>
      <c r="AU12" s="48"/>
      <c r="AV12" s="48"/>
      <c r="AW12" s="48"/>
      <c r="AX12" s="48"/>
      <c r="AY12" s="48"/>
      <c r="AZ12" s="48"/>
      <c r="BA12" s="48"/>
      <c r="BB12" s="48"/>
      <c r="BC12" s="48"/>
      <c r="BD12" s="48"/>
      <c r="BE12" s="48"/>
      <c r="BF12" s="48"/>
      <c r="BG12" s="48"/>
      <c r="BH12" s="48"/>
      <c r="BI12" s="48"/>
      <c r="BJ12" s="48"/>
      <c r="BK12" s="48"/>
      <c r="BL12" s="48"/>
    </row>
    <row r="13" spans="1:64" s="43" customFormat="1" ht="30" customHeight="1" thickBot="1">
      <c r="A13" s="12"/>
      <c r="B13" s="49" t="s">
        <v>23</v>
      </c>
      <c r="C13" s="50" t="s">
        <v>19</v>
      </c>
      <c r="D13" s="51">
        <v>1</v>
      </c>
      <c r="E13" s="52">
        <f>E10+1</f>
        <v>46120</v>
      </c>
      <c r="F13" s="52">
        <f>E13+2</f>
        <v>46122</v>
      </c>
      <c r="G13" s="14"/>
      <c r="H13" s="4">
        <f t="shared" ca="1" si="5"/>
        <v>3</v>
      </c>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c r="BB13" s="48"/>
      <c r="BC13" s="48"/>
      <c r="BD13" s="48"/>
      <c r="BE13" s="48"/>
      <c r="BF13" s="48"/>
      <c r="BG13" s="48"/>
      <c r="BH13" s="48"/>
      <c r="BI13" s="48"/>
      <c r="BJ13" s="48"/>
      <c r="BK13" s="48"/>
      <c r="BL13" s="48"/>
    </row>
    <row r="14" spans="1:64" s="43" customFormat="1" ht="30" customHeight="1" thickBot="1">
      <c r="A14" s="13"/>
      <c r="B14" s="54" t="s">
        <v>24</v>
      </c>
      <c r="C14" s="55"/>
      <c r="D14" s="56"/>
      <c r="E14" s="57"/>
      <c r="F14" s="58"/>
      <c r="G14" s="14"/>
      <c r="H14" s="4" t="str">
        <f t="shared" ca="1" si="5"/>
        <v/>
      </c>
    </row>
    <row r="15" spans="1:64" s="43" customFormat="1" ht="30" customHeight="1" thickBot="1">
      <c r="A15" s="13"/>
      <c r="B15" s="59" t="s">
        <v>25</v>
      </c>
      <c r="C15" s="60" t="s">
        <v>21</v>
      </c>
      <c r="D15" s="61">
        <v>1</v>
      </c>
      <c r="E15" s="62">
        <f>F12</f>
        <v>46123</v>
      </c>
      <c r="F15" s="62">
        <f>E15+1</f>
        <v>46124</v>
      </c>
      <c r="G15" s="14"/>
      <c r="H15" s="4">
        <f t="shared" ca="1" si="5"/>
        <v>2</v>
      </c>
      <c r="I15" s="48"/>
      <c r="J15" s="48"/>
      <c r="K15" s="48"/>
      <c r="L15" s="48"/>
      <c r="M15" s="48"/>
      <c r="N15" s="48"/>
      <c r="O15" s="48"/>
      <c r="P15" s="48"/>
      <c r="Q15" s="48"/>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c r="AP15" s="48"/>
      <c r="AQ15" s="48"/>
      <c r="AR15" s="48"/>
      <c r="AS15" s="48"/>
      <c r="AT15" s="48"/>
      <c r="AU15" s="48"/>
      <c r="AV15" s="48"/>
      <c r="AW15" s="48"/>
      <c r="AX15" s="48"/>
      <c r="AY15" s="48"/>
      <c r="AZ15" s="48"/>
      <c r="BA15" s="48"/>
      <c r="BB15" s="48"/>
      <c r="BC15" s="48"/>
      <c r="BD15" s="48"/>
      <c r="BE15" s="48"/>
      <c r="BF15" s="48"/>
      <c r="BG15" s="48"/>
      <c r="BH15" s="48"/>
      <c r="BI15" s="48"/>
      <c r="BJ15" s="48"/>
      <c r="BK15" s="48"/>
      <c r="BL15" s="48"/>
    </row>
    <row r="16" spans="1:64" s="43" customFormat="1" ht="30" customHeight="1" thickBot="1">
      <c r="A16" s="12"/>
      <c r="B16" s="59" t="s">
        <v>26</v>
      </c>
      <c r="C16" s="60" t="s">
        <v>17</v>
      </c>
      <c r="D16" s="61">
        <v>1</v>
      </c>
      <c r="E16" s="62">
        <f>F15</f>
        <v>46124</v>
      </c>
      <c r="F16" s="62">
        <f>E16+1</f>
        <v>46125</v>
      </c>
      <c r="G16" s="14"/>
      <c r="H16" s="4">
        <f t="shared" ca="1" si="5"/>
        <v>2</v>
      </c>
      <c r="I16" s="48"/>
      <c r="J16" s="48"/>
      <c r="K16" s="48"/>
      <c r="L16" s="48"/>
      <c r="M16" s="48"/>
      <c r="N16" s="48"/>
      <c r="O16" s="48"/>
      <c r="P16" s="48"/>
      <c r="Q16" s="48"/>
      <c r="R16" s="48"/>
      <c r="S16" s="48"/>
      <c r="T16" s="48"/>
      <c r="U16" s="53"/>
      <c r="V16" s="53"/>
      <c r="W16" s="48"/>
      <c r="X16" s="48"/>
      <c r="Y16" s="48"/>
      <c r="Z16" s="48"/>
      <c r="AA16" s="48"/>
      <c r="AB16" s="48"/>
      <c r="AC16" s="48"/>
      <c r="AD16" s="48"/>
      <c r="AE16" s="48"/>
      <c r="AF16" s="48"/>
      <c r="AG16" s="48"/>
      <c r="AH16" s="48"/>
      <c r="AI16" s="48"/>
      <c r="AJ16" s="48"/>
      <c r="AK16" s="48"/>
      <c r="AL16" s="48"/>
      <c r="AM16" s="48"/>
      <c r="AN16" s="48"/>
      <c r="AO16" s="48"/>
      <c r="AP16" s="48"/>
      <c r="AQ16" s="48"/>
      <c r="AR16" s="48"/>
      <c r="AS16" s="48"/>
      <c r="AT16" s="48"/>
      <c r="AU16" s="48"/>
      <c r="AV16" s="48"/>
      <c r="AW16" s="48"/>
      <c r="AX16" s="48"/>
      <c r="AY16" s="48"/>
      <c r="AZ16" s="48"/>
      <c r="BA16" s="48"/>
      <c r="BB16" s="48"/>
      <c r="BC16" s="48"/>
      <c r="BD16" s="48"/>
      <c r="BE16" s="48"/>
      <c r="BF16" s="48"/>
      <c r="BG16" s="48"/>
      <c r="BH16" s="48"/>
      <c r="BI16" s="48"/>
      <c r="BJ16" s="48"/>
      <c r="BK16" s="48"/>
      <c r="BL16" s="48"/>
    </row>
    <row r="17" spans="1:64" s="43" customFormat="1" ht="30" customHeight="1" thickBot="1">
      <c r="A17" s="12"/>
      <c r="B17" s="59" t="s">
        <v>27</v>
      </c>
      <c r="C17" s="60" t="s">
        <v>19</v>
      </c>
      <c r="D17" s="61">
        <v>1</v>
      </c>
      <c r="E17" s="62">
        <f>F16</f>
        <v>46125</v>
      </c>
      <c r="F17" s="62">
        <f>E17</f>
        <v>46125</v>
      </c>
      <c r="G17" s="14"/>
      <c r="H17" s="4">
        <f t="shared" ca="1" si="5"/>
        <v>1</v>
      </c>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c r="AP17" s="48"/>
      <c r="AQ17" s="48"/>
      <c r="AR17" s="48"/>
      <c r="AS17" s="48"/>
      <c r="AT17" s="48"/>
      <c r="AU17" s="48"/>
      <c r="AV17" s="48"/>
      <c r="AW17" s="48"/>
      <c r="AX17" s="48"/>
      <c r="AY17" s="48"/>
      <c r="AZ17" s="48"/>
      <c r="BA17" s="48"/>
      <c r="BB17" s="48"/>
      <c r="BC17" s="48"/>
      <c r="BD17" s="48"/>
      <c r="BE17" s="48"/>
      <c r="BF17" s="48"/>
      <c r="BG17" s="48"/>
      <c r="BH17" s="48"/>
      <c r="BI17" s="48"/>
      <c r="BJ17" s="48"/>
      <c r="BK17" s="48"/>
      <c r="BL17" s="48"/>
    </row>
    <row r="18" spans="1:64" s="43" customFormat="1" ht="30" customHeight="1" thickBot="1">
      <c r="A18" s="12"/>
      <c r="B18" s="59" t="s">
        <v>28</v>
      </c>
      <c r="C18" s="60" t="s">
        <v>21</v>
      </c>
      <c r="D18" s="61">
        <v>1</v>
      </c>
      <c r="E18" s="62">
        <f>E17</f>
        <v>46125</v>
      </c>
      <c r="F18" s="62">
        <f>E18+1</f>
        <v>46126</v>
      </c>
      <c r="G18" s="14"/>
      <c r="H18" s="4">
        <f t="shared" ca="1" si="5"/>
        <v>2</v>
      </c>
      <c r="I18" s="48"/>
      <c r="J18" s="48"/>
      <c r="K18" s="48"/>
      <c r="L18" s="48"/>
      <c r="M18" s="48"/>
      <c r="N18" s="48"/>
      <c r="O18" s="48"/>
      <c r="P18" s="48"/>
      <c r="Q18" s="48"/>
      <c r="R18" s="48"/>
      <c r="S18" s="48"/>
      <c r="T18" s="48"/>
      <c r="U18" s="48"/>
      <c r="V18" s="48"/>
      <c r="W18" s="48"/>
      <c r="X18" s="48"/>
      <c r="Y18" s="53"/>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row>
    <row r="19" spans="1:64" s="43" customFormat="1" ht="30" customHeight="1" thickBot="1">
      <c r="A19" s="12"/>
      <c r="B19" s="59" t="s">
        <v>29</v>
      </c>
      <c r="C19" s="60" t="s">
        <v>17</v>
      </c>
      <c r="D19" s="61">
        <v>1</v>
      </c>
      <c r="E19" s="62">
        <f>E18</f>
        <v>46125</v>
      </c>
      <c r="F19" s="62">
        <f>E19+1</f>
        <v>46126</v>
      </c>
      <c r="G19" s="14"/>
      <c r="H19" s="4">
        <f t="shared" ca="1" si="5"/>
        <v>2</v>
      </c>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row>
    <row r="20" spans="1:64" s="43" customFormat="1" ht="30" customHeight="1" thickBot="1">
      <c r="A20" s="12"/>
      <c r="B20" s="63" t="s">
        <v>30</v>
      </c>
      <c r="C20" s="64"/>
      <c r="D20" s="65"/>
      <c r="E20" s="66"/>
      <c r="F20" s="67"/>
      <c r="G20" s="14"/>
      <c r="H20" s="4" t="str">
        <f t="shared" ca="1" si="5"/>
        <v/>
      </c>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68"/>
      <c r="AQ20" s="68"/>
      <c r="AR20" s="68"/>
      <c r="AS20" s="68"/>
      <c r="AT20" s="68"/>
      <c r="AU20" s="68"/>
      <c r="AV20" s="68"/>
      <c r="AW20" s="68"/>
      <c r="AX20" s="68"/>
      <c r="AY20" s="68"/>
      <c r="AZ20" s="68"/>
      <c r="BA20" s="68"/>
      <c r="BB20" s="68"/>
      <c r="BC20" s="68"/>
      <c r="BD20" s="68"/>
      <c r="BE20" s="68"/>
      <c r="BF20" s="68"/>
      <c r="BG20" s="68"/>
      <c r="BH20" s="68"/>
      <c r="BI20" s="68"/>
      <c r="BJ20" s="68"/>
      <c r="BK20" s="68"/>
      <c r="BL20" s="68"/>
    </row>
    <row r="21" spans="1:64" s="43" customFormat="1" ht="30" customHeight="1" thickBot="1">
      <c r="A21" s="12"/>
      <c r="B21" s="69" t="s">
        <v>31</v>
      </c>
      <c r="C21" s="70" t="s">
        <v>19</v>
      </c>
      <c r="D21" s="71">
        <v>1</v>
      </c>
      <c r="E21" s="72">
        <f>F19</f>
        <v>46126</v>
      </c>
      <c r="F21" s="72">
        <f>E21+2</f>
        <v>46128</v>
      </c>
      <c r="G21" s="14"/>
      <c r="H21" s="4">
        <f t="shared" ca="1" si="5"/>
        <v>3</v>
      </c>
      <c r="I21" s="48"/>
      <c r="J21" s="48"/>
      <c r="K21" s="48"/>
      <c r="L21" s="48"/>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row>
    <row r="22" spans="1:64" s="43" customFormat="1" ht="30" customHeight="1" thickBot="1">
      <c r="A22" s="12"/>
      <c r="B22" s="69" t="s">
        <v>32</v>
      </c>
      <c r="C22" s="70" t="s">
        <v>21</v>
      </c>
      <c r="D22" s="71">
        <v>1</v>
      </c>
      <c r="E22" s="72">
        <f>F21</f>
        <v>46128</v>
      </c>
      <c r="F22" s="72">
        <f>E22+1</f>
        <v>46129</v>
      </c>
      <c r="G22" s="14"/>
      <c r="H22" s="4">
        <f t="shared" ca="1" si="5"/>
        <v>2</v>
      </c>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row>
    <row r="23" spans="1:64" s="43" customFormat="1" ht="30" customHeight="1" thickBot="1">
      <c r="A23" s="12"/>
      <c r="B23" s="73" t="s">
        <v>33</v>
      </c>
      <c r="C23" s="74"/>
      <c r="D23" s="75"/>
      <c r="E23" s="76"/>
      <c r="F23" s="77"/>
      <c r="G23" s="14"/>
      <c r="H23" s="4" t="str">
        <f t="shared" ca="1" si="5"/>
        <v/>
      </c>
      <c r="I23" s="78"/>
      <c r="J23" s="78"/>
      <c r="K23" s="78"/>
      <c r="L23" s="78"/>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c r="BI23" s="78"/>
      <c r="BJ23" s="78"/>
      <c r="BK23" s="78"/>
      <c r="BL23" s="78"/>
    </row>
    <row r="24" spans="1:64" s="43" customFormat="1" ht="30" customHeight="1" thickBot="1">
      <c r="A24" s="12"/>
      <c r="B24" s="79" t="s">
        <v>34</v>
      </c>
      <c r="C24" s="80" t="s">
        <v>17</v>
      </c>
      <c r="D24" s="81">
        <v>1</v>
      </c>
      <c r="E24" s="82">
        <f>F22</f>
        <v>46129</v>
      </c>
      <c r="F24" s="82">
        <f>E24+1</f>
        <v>46130</v>
      </c>
      <c r="G24" s="14"/>
      <c r="H24" s="4">
        <f t="shared" ca="1" si="5"/>
        <v>2</v>
      </c>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row>
    <row r="25" spans="1:64" s="43" customFormat="1" ht="30" customHeight="1" thickBot="1">
      <c r="A25" s="12"/>
      <c r="B25" s="79" t="s">
        <v>35</v>
      </c>
      <c r="C25" s="80" t="s">
        <v>19</v>
      </c>
      <c r="D25" s="81">
        <v>1</v>
      </c>
      <c r="E25" s="82">
        <f>Project_Start</f>
        <v>46118</v>
      </c>
      <c r="F25" s="82">
        <f>E25+2</f>
        <v>46120</v>
      </c>
      <c r="G25" s="14"/>
      <c r="H25" s="4">
        <f t="shared" ca="1" si="5"/>
        <v>3</v>
      </c>
      <c r="I25" s="48"/>
      <c r="J25" s="48"/>
      <c r="K25" s="48"/>
      <c r="L25" s="48"/>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row>
    <row r="26" spans="1:64" s="43" customFormat="1" ht="30" customHeight="1" thickBot="1">
      <c r="A26" s="12"/>
      <c r="B26" s="79" t="s">
        <v>36</v>
      </c>
      <c r="C26" s="80" t="s">
        <v>21</v>
      </c>
      <c r="D26" s="81">
        <v>1</v>
      </c>
      <c r="E26" s="82">
        <f>F24</f>
        <v>46130</v>
      </c>
      <c r="F26" s="82">
        <f>E26+1</f>
        <v>46131</v>
      </c>
      <c r="G26" s="14"/>
      <c r="H26" s="4">
        <f t="shared" ca="1" si="5"/>
        <v>2</v>
      </c>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row>
    <row r="27" spans="1:64" s="43" customFormat="1" ht="30" customHeight="1" thickBot="1">
      <c r="A27" s="12"/>
      <c r="B27" s="93" t="s">
        <v>33</v>
      </c>
      <c r="C27" s="94"/>
      <c r="D27" s="95"/>
      <c r="E27" s="96"/>
      <c r="F27" s="97"/>
      <c r="G27" s="14"/>
      <c r="H27" s="4" t="str">
        <f t="shared" ca="1" si="5"/>
        <v/>
      </c>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78"/>
      <c r="BK27" s="78"/>
      <c r="BL27" s="78"/>
    </row>
    <row r="28" spans="1:64" s="43" customFormat="1" ht="30" customHeight="1" thickBot="1">
      <c r="A28" s="13"/>
      <c r="B28" s="98" t="s">
        <v>37</v>
      </c>
      <c r="C28" s="99" t="s">
        <v>17</v>
      </c>
      <c r="D28" s="100">
        <v>1</v>
      </c>
      <c r="E28" s="101">
        <f>E25</f>
        <v>46118</v>
      </c>
      <c r="F28" s="101">
        <f>E28+2</f>
        <v>46120</v>
      </c>
      <c r="G28" s="14"/>
      <c r="H28" s="5">
        <f t="shared" ca="1" si="5"/>
        <v>3</v>
      </c>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row>
    <row r="29" spans="1:64" ht="30" customHeight="1">
      <c r="B29" s="98" t="s">
        <v>38</v>
      </c>
      <c r="C29" s="99" t="s">
        <v>19</v>
      </c>
      <c r="D29" s="100">
        <v>1</v>
      </c>
      <c r="E29" s="101">
        <f>F28</f>
        <v>46120</v>
      </c>
      <c r="F29" s="101">
        <f>E29+2</f>
        <v>46122</v>
      </c>
      <c r="G29" s="3"/>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row>
    <row r="30" spans="1:64" ht="30" customHeight="1">
      <c r="B30" s="98" t="s">
        <v>39</v>
      </c>
      <c r="C30" s="99" t="s">
        <v>21</v>
      </c>
      <c r="D30" s="100">
        <v>1</v>
      </c>
      <c r="E30" s="101">
        <f>F26</f>
        <v>46131</v>
      </c>
      <c r="F30" s="101">
        <f>E30</f>
        <v>46131</v>
      </c>
      <c r="I30" s="48"/>
      <c r="J30" s="48"/>
      <c r="K30" s="48"/>
      <c r="L30" s="48"/>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row>
    <row r="31" spans="1:64" ht="30" customHeight="1">
      <c r="B31" s="98" t="s">
        <v>40</v>
      </c>
      <c r="C31" s="99" t="s">
        <v>17</v>
      </c>
      <c r="D31" s="100">
        <v>1</v>
      </c>
      <c r="E31" s="101">
        <f>F30</f>
        <v>46131</v>
      </c>
      <c r="F31" s="101">
        <f>E31+1</f>
        <v>46132</v>
      </c>
      <c r="I31" s="48"/>
      <c r="J31" s="48"/>
      <c r="K31" s="48"/>
      <c r="L31" s="48"/>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row>
    <row r="32" spans="1:64" ht="30" customHeight="1">
      <c r="B32" s="98" t="s">
        <v>41</v>
      </c>
      <c r="C32" s="99" t="s">
        <v>19</v>
      </c>
      <c r="D32" s="100">
        <v>1</v>
      </c>
      <c r="E32" s="101">
        <f>F31</f>
        <v>46132</v>
      </c>
      <c r="F32" s="101">
        <f>E32+1</f>
        <v>46133</v>
      </c>
      <c r="I32" s="48"/>
      <c r="J32" s="48"/>
      <c r="K32" s="48"/>
      <c r="L32" s="48"/>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row>
  </sheetData>
  <mergeCells count="18">
    <mergeCell ref="A5:A6"/>
    <mergeCell ref="B5:B6"/>
    <mergeCell ref="C5:C6"/>
    <mergeCell ref="D5:D6"/>
    <mergeCell ref="E5:E6"/>
    <mergeCell ref="F5:F6"/>
    <mergeCell ref="Q2:Z2"/>
    <mergeCell ref="Q1:Z1"/>
    <mergeCell ref="I1:O1"/>
    <mergeCell ref="I2:O2"/>
    <mergeCell ref="BF4:BL4"/>
    <mergeCell ref="I4:O4"/>
    <mergeCell ref="P4:V4"/>
    <mergeCell ref="W4:AC4"/>
    <mergeCell ref="AD4:AJ4"/>
    <mergeCell ref="AK4:AQ4"/>
    <mergeCell ref="AR4:AX4"/>
    <mergeCell ref="AY4:BE4"/>
  </mergeCells>
  <conditionalFormatting sqref="D7:D32">
    <cfRule type="dataBar" priority="26">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6">
    <cfRule type="expression" dxfId="11" priority="4">
      <formula>AND(TODAY()&gt;=I$5, TODAY()&lt;J$5)</formula>
    </cfRule>
  </conditionalFormatting>
  <conditionalFormatting sqref="I9:BL13">
    <cfRule type="expression" dxfId="10" priority="9">
      <formula>AND(task_start&lt;=I$5,ROUNDDOWN((task_end-task_start+1)*task_progress,0)+task_start-1&gt;=I$5)</formula>
    </cfRule>
    <cfRule type="expression" dxfId="9" priority="10" stopIfTrue="1">
      <formula>AND(task_end&gt;=I$5,task_start&lt;J$5)</formula>
    </cfRule>
  </conditionalFormatting>
  <conditionalFormatting sqref="I15:BL19">
    <cfRule type="expression" dxfId="8" priority="7">
      <formula>AND(task_start&lt;=I$5,ROUNDDOWN((task_end-task_start+1)*task_progress,0)+task_start-1&gt;=I$5)</formula>
    </cfRule>
    <cfRule type="expression" dxfId="7" priority="8" stopIfTrue="1">
      <formula>AND(task_end&gt;=I$5,task_start&lt;J$5)</formula>
    </cfRule>
  </conditionalFormatting>
  <conditionalFormatting sqref="I21:BL22">
    <cfRule type="expression" dxfId="6" priority="5">
      <formula>AND(task_start&lt;=I$5,ROUNDDOWN((task_end-task_start+1)*task_progress,0)+task_start-1&gt;=I$5)</formula>
    </cfRule>
    <cfRule type="expression" dxfId="5" priority="6" stopIfTrue="1">
      <formula>AND(task_end&gt;=I$5,task_start&lt;J$5)</formula>
    </cfRule>
  </conditionalFormatting>
  <conditionalFormatting sqref="I24:BL26">
    <cfRule type="expression" dxfId="4" priority="39">
      <formula>AND(task_start&lt;=I$5,ROUNDDOWN((task_end-task_start+1)*task_progress,0)+task_start-1&gt;=I$5)</formula>
    </cfRule>
    <cfRule type="expression" dxfId="3" priority="40" stopIfTrue="1">
      <formula>AND(task_end&gt;=I$5,task_start&lt;J$5)</formula>
    </cfRule>
  </conditionalFormatting>
  <conditionalFormatting sqref="I27:BL32">
    <cfRule type="expression" dxfId="2" priority="1">
      <formula>AND(TODAY()&gt;=I$5, TODAY()&lt;J$5)</formula>
    </cfRule>
  </conditionalFormatting>
  <conditionalFormatting sqref="I28:BL32">
    <cfRule type="expression" dxfId="1" priority="2">
      <formula>AND(task_start&lt;=I$5,ROUNDDOWN((task_end-task_start+1)*task_progress,0)+task_start-1&gt;=I$5)</formula>
    </cfRule>
    <cfRule type="expression" dxfId="0" priority="3"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3"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28"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E25 E30 F11 F17" formula="1"/>
  </ignoredErrors>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6" customWidth="1"/>
    <col min="2" max="16384" width="9" style="1"/>
  </cols>
  <sheetData>
    <row r="1" spans="1:2" ht="46.5" customHeight="1"/>
    <row r="2" spans="1:2" s="8" customFormat="1" ht="15.6">
      <c r="A2" s="85" t="s">
        <v>5</v>
      </c>
      <c r="B2" s="7"/>
    </row>
    <row r="3" spans="1:2" s="10" customFormat="1" ht="27" customHeight="1">
      <c r="A3" s="86"/>
      <c r="B3" s="11"/>
    </row>
    <row r="4" spans="1:2" s="9" customFormat="1" ht="30">
      <c r="A4" s="87" t="s">
        <v>42</v>
      </c>
    </row>
    <row r="5" spans="1:2" ht="74.25" customHeight="1">
      <c r="A5" s="88" t="s">
        <v>43</v>
      </c>
    </row>
    <row r="6" spans="1:2" ht="26.25" customHeight="1">
      <c r="A6" s="87" t="s">
        <v>44</v>
      </c>
    </row>
    <row r="7" spans="1:2" s="6" customFormat="1" ht="205.15" customHeight="1">
      <c r="A7" s="89" t="s">
        <v>45</v>
      </c>
    </row>
    <row r="8" spans="1:2" s="9" customFormat="1" ht="30">
      <c r="A8" s="87" t="s">
        <v>46</v>
      </c>
    </row>
    <row r="9" spans="1:2" ht="41.45">
      <c r="A9" s="88" t="s">
        <v>47</v>
      </c>
    </row>
    <row r="10" spans="1:2" s="6" customFormat="1" ht="28.15" customHeight="1">
      <c r="A10" s="90" t="s">
        <v>48</v>
      </c>
    </row>
    <row r="11" spans="1:2" s="9" customFormat="1" ht="30">
      <c r="A11" s="87" t="s">
        <v>49</v>
      </c>
    </row>
    <row r="12" spans="1:2" ht="27.6">
      <c r="A12" s="88" t="s">
        <v>50</v>
      </c>
    </row>
    <row r="13" spans="1:2" s="6" customFormat="1" ht="28.15" customHeight="1">
      <c r="A13" s="90" t="s">
        <v>51</v>
      </c>
    </row>
    <row r="14" spans="1:2" s="9" customFormat="1" ht="30">
      <c r="A14" s="87" t="s">
        <v>52</v>
      </c>
    </row>
    <row r="15" spans="1:2" ht="75" customHeight="1">
      <c r="A15" s="88" t="s">
        <v>53</v>
      </c>
    </row>
    <row r="16" spans="1:2" ht="69">
      <c r="A16" s="88" t="s">
        <v>54</v>
      </c>
    </row>
    <row r="17" spans="1:1">
      <c r="A17" s="91"/>
    </row>
    <row r="18" spans="1:1">
      <c r="A18" s="91"/>
    </row>
    <row r="19" spans="1:1">
      <c r="A19" s="91"/>
    </row>
    <row r="20" spans="1:1">
      <c r="A20" s="91"/>
    </row>
    <row r="21" spans="1:1">
      <c r="A21" s="91"/>
    </row>
    <row r="22" spans="1:1">
      <c r="A22" s="91"/>
    </row>
    <row r="23" spans="1:1">
      <c r="A23" s="91"/>
    </row>
    <row r="24" spans="1:1">
      <c r="A24" s="91"/>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A09426A3-87E9-4865-8A6C-3456B026AE03}"/>
</file>

<file path=customXml/itemProps2.xml><?xml version="1.0" encoding="utf-8"?>
<ds:datastoreItem xmlns:ds="http://schemas.openxmlformats.org/officeDocument/2006/customXml" ds:itemID="{97245281-08F3-4104-84BD-39F3D8CFB195}"/>
</file>

<file path=customXml/itemProps3.xml><?xml version="1.0" encoding="utf-8"?>
<ds:datastoreItem xmlns:ds="http://schemas.openxmlformats.org/officeDocument/2006/customXml" ds:itemID="{A82239A0-E68C-493F-BEE6-C77FEA397FD6}"/>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 Speth</dc:creator>
  <cp:keywords/>
  <dc:description/>
  <cp:lastModifiedBy/>
  <cp:revision/>
  <dcterms:created xsi:type="dcterms:W3CDTF">2022-03-11T22:41:12Z</dcterms:created>
  <dcterms:modified xsi:type="dcterms:W3CDTF">2026-04-21T03:42:15Z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