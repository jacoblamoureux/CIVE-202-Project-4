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49b30d93d0cb452/Classes/25-26 Semester 2/CIVE 202/Project 4/"/>
    </mc:Choice>
  </mc:AlternateContent>
  <xr:revisionPtr revIDLastSave="542" documentId="11_F25DC773A252ABDACC1048C1C15D76B25BDE58EC" xr6:coauthVersionLast="47" xr6:coauthVersionMax="47" xr10:uidLastSave="{254FE39A-A9D6-4E56-BA84-A4C6BAC390A2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G20" i="1" s="1"/>
  <c r="F19" i="1"/>
  <c r="G19" i="1" s="1"/>
  <c r="F18" i="1"/>
  <c r="G18" i="1" s="1"/>
  <c r="F17" i="1"/>
  <c r="G17" i="1" s="1"/>
  <c r="F5" i="1"/>
  <c r="G5" i="1" s="1"/>
  <c r="F8" i="1"/>
  <c r="G8" i="1" s="1"/>
  <c r="F3" i="1"/>
  <c r="F4" i="1"/>
  <c r="F6" i="1"/>
  <c r="F9" i="1"/>
  <c r="F7" i="1"/>
  <c r="F10" i="1"/>
  <c r="F11" i="1"/>
  <c r="F12" i="1"/>
  <c r="F13" i="1"/>
  <c r="F14" i="1"/>
  <c r="F15" i="1"/>
  <c r="F16" i="1"/>
  <c r="G14" i="1" l="1"/>
  <c r="G10" i="1"/>
  <c r="G3" i="1" l="1"/>
  <c r="G11" i="1"/>
  <c r="G15" i="1"/>
  <c r="G6" i="1"/>
  <c r="G7" i="1"/>
  <c r="G4" i="1"/>
  <c r="G9" i="1"/>
  <c r="G16" i="1"/>
  <c r="G13" i="1"/>
  <c r="G12" i="1"/>
  <c r="I3" i="1" l="1"/>
</calcChain>
</file>

<file path=xl/sharedStrings.xml><?xml version="1.0" encoding="utf-8"?>
<sst xmlns="http://schemas.openxmlformats.org/spreadsheetml/2006/main" count="48" uniqueCount="28">
  <si>
    <t>Day</t>
  </si>
  <si>
    <t>Person</t>
  </si>
  <si>
    <t>Hours worked</t>
  </si>
  <si>
    <t>Tasks Completeted</t>
  </si>
  <si>
    <t>Hourly Rate</t>
  </si>
  <si>
    <t>Create Gantt Chart</t>
  </si>
  <si>
    <t>Compensation</t>
  </si>
  <si>
    <t>Project Total</t>
  </si>
  <si>
    <t>Jacob L</t>
  </si>
  <si>
    <t>Jacob K</t>
  </si>
  <si>
    <t>Eli S</t>
  </si>
  <si>
    <t>Downloaded NRI Metadata</t>
  </si>
  <si>
    <t>Downloaded Metadata and SVI</t>
  </si>
  <si>
    <t>Cleaned and organized data</t>
  </si>
  <si>
    <t>Joined Datasets</t>
  </si>
  <si>
    <t>Handled Missing Values</t>
  </si>
  <si>
    <t>Worked on reproducing NRI Methods</t>
  </si>
  <si>
    <t>Defined Flood risk</t>
  </si>
  <si>
    <t>Defined Wildfire risk</t>
  </si>
  <si>
    <t>Analysis</t>
  </si>
  <si>
    <t>Edited Visuals</t>
  </si>
  <si>
    <t>Made tables and figures</t>
  </si>
  <si>
    <t>Made Geopandas Map</t>
  </si>
  <si>
    <t>create annotated code document</t>
  </si>
  <si>
    <t>Wrote scope of work</t>
  </si>
  <si>
    <t>Created written report</t>
  </si>
  <si>
    <t>Create github repository and upload files</t>
  </si>
  <si>
    <t>Create ReadMe for Github 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</si>
</sst>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₿]\ #,##0.000000" x16r2:formatCode16="[$₿-x-xbt2]\ #,##0.000000"/>
    <numFmt numFmtId="165" formatCode="[$₿]\ #,##0.00000" x16r2:formatCode16="[$₿-x-xbt2]\ #,##0.00000"/>
    <numFmt numFmtId="166" formatCode="[$₿]\ #,##0.00" x16r2:formatCode16="[$₿-x-xbt2]\ #,##0.00"/>
    <numFmt numFmtId="167" formatCode="[$$-409]#,##0.00"/>
    <numFmt numFmtId="170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4" fontId="0" fillId="0" borderId="0" xfId="0" applyNumberFormat="1"/>
    <xf numFmtId="167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4">
    <dxf>
      <numFmt numFmtId="170" formatCode="&quot;$&quot;#,##0.00"/>
    </dxf>
    <dxf>
      <numFmt numFmtId="170" formatCode="&quot;$&quot;#,##0.00"/>
    </dxf>
    <dxf>
      <numFmt numFmtId="19" formatCode="m/d/yyyy"/>
    </dxf>
    <dxf>
      <numFmt numFmtId="170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240150-3B36-4940-A1F7-9B903704910B}" name="Table2" displayName="Table2" ref="B2:G20" totalsRowShown="0">
  <autoFilter ref="B2:G20" xr:uid="{67240150-3B36-4940-A1F7-9B903704910B}"/>
  <sortState xmlns:xlrd2="http://schemas.microsoft.com/office/spreadsheetml/2017/richdata2" ref="B3:G20">
    <sortCondition ref="B2:B20"/>
  </sortState>
  <tableColumns count="6">
    <tableColumn id="1" xr3:uid="{AF3D9E15-3515-4417-86C9-5B7199D45F72}" name="Day" dataDxfId="2"/>
    <tableColumn id="2" xr3:uid="{1BCEFB89-A95A-4F78-A8A8-067190B9D7DF}" name="Person"/>
    <tableColumn id="3" xr3:uid="{471DBDFC-AD18-4B5C-9339-0A2957FB8F4D}" name="Hours worked"/>
    <tableColumn id="4" xr3:uid="{D0374F89-D9AE-4406-83D9-E3E923F073BE}" name="Tasks Completeted"/>
    <tableColumn id="5" xr3:uid="{9FDA7413-9FE1-4E03-A0D9-7F187E807096}" name="Hourly Rate" dataDxfId="1">
      <calculatedColumnFormula>_xlfn.SINGLE(_xlfn.XLOOKUP(Table2[[#This Row],[Person]],Table1[Person],Table1[Hourly Rate]))</calculatedColumnFormula>
    </tableColumn>
    <tableColumn id="6" xr3:uid="{DD5BA6BC-746E-4753-B7BA-8F426D66BCD6}" name="Compensation" dataDxfId="0">
      <calculatedColumnFormula>D3*F3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8D0E7A-CF67-4FBE-9569-43381E17EB02}" name="Table1" displayName="Table1" ref="I6:J9" totalsRowShown="0">
  <autoFilter ref="I6:J9" xr:uid="{A78D0E7A-CF67-4FBE-9569-43381E17EB02}"/>
  <tableColumns count="2">
    <tableColumn id="1" xr3:uid="{4307B6E4-B4C9-40E4-8791-CEE19560E247}" name="Person"/>
    <tableColumn id="2" xr3:uid="{F7AEB850-A7B4-487A-9F71-F261427D7601}" name="Hourly Rat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4"/>
  <sheetViews>
    <sheetView tabSelected="1" zoomScaleNormal="100" workbookViewId="0">
      <selection activeCell="D21" sqref="D21"/>
    </sheetView>
  </sheetViews>
  <sheetFormatPr defaultRowHeight="14.4" x14ac:dyDescent="0.3"/>
  <cols>
    <col min="2" max="2" width="9.5546875" bestFit="1" customWidth="1"/>
    <col min="3" max="3" width="12.6640625" customWidth="1"/>
    <col min="4" max="4" width="14.5546875" customWidth="1"/>
    <col min="5" max="5" width="50.44140625" bestFit="1" customWidth="1"/>
    <col min="6" max="6" width="12.6640625" customWidth="1"/>
    <col min="7" max="7" width="15.109375" customWidth="1"/>
    <col min="8" max="8" width="16.6640625" customWidth="1"/>
    <col min="9" max="9" width="16" customWidth="1"/>
    <col min="10" max="10" width="10.5546875" customWidth="1"/>
  </cols>
  <sheetData>
    <row r="2" spans="2:10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6</v>
      </c>
      <c r="I2" t="s">
        <v>7</v>
      </c>
    </row>
    <row r="3" spans="2:10" x14ac:dyDescent="0.3">
      <c r="B3" s="4">
        <v>46118</v>
      </c>
      <c r="C3" t="s">
        <v>9</v>
      </c>
      <c r="D3">
        <v>1</v>
      </c>
      <c r="E3" t="s">
        <v>11</v>
      </c>
      <c r="F3" s="6">
        <f>_xlfn.SINGLE(_xlfn.XLOOKUP(Table2[[#This Row],[Person]],Table1[Person],Table1[Hourly Rate]))</f>
        <v>40</v>
      </c>
      <c r="G3" s="6">
        <f>D3*F3</f>
        <v>40</v>
      </c>
      <c r="H3" s="5"/>
      <c r="I3" s="6">
        <f>SUM(Table2[Compensation])</f>
        <v>1063.5</v>
      </c>
    </row>
    <row r="4" spans="2:10" x14ac:dyDescent="0.3">
      <c r="B4" s="4">
        <v>46119</v>
      </c>
      <c r="C4" t="s">
        <v>8</v>
      </c>
      <c r="D4">
        <v>1</v>
      </c>
      <c r="E4" t="s">
        <v>12</v>
      </c>
      <c r="F4" s="6">
        <f>_xlfn.SINGLE(_xlfn.XLOOKUP(Table2[[#This Row],[Person]],Table1[Person],Table1[Hourly Rate]))</f>
        <v>35</v>
      </c>
      <c r="G4" s="6">
        <f>D4*F4</f>
        <v>35</v>
      </c>
      <c r="H4" s="5"/>
    </row>
    <row r="5" spans="2:10" x14ac:dyDescent="0.3">
      <c r="B5" s="4">
        <v>46119</v>
      </c>
      <c r="C5" t="s">
        <v>8</v>
      </c>
      <c r="D5">
        <v>2</v>
      </c>
      <c r="E5" t="s">
        <v>24</v>
      </c>
      <c r="F5" s="6">
        <f>_xlfn.SINGLE(_xlfn.XLOOKUP(Table2[[#This Row],[Person]],Table1[Person],Table1[Hourly Rate]))</f>
        <v>35</v>
      </c>
      <c r="G5" s="6">
        <f>D5*F5</f>
        <v>70</v>
      </c>
      <c r="H5" s="5"/>
    </row>
    <row r="6" spans="2:10" x14ac:dyDescent="0.3">
      <c r="B6" s="4">
        <v>46120</v>
      </c>
      <c r="C6" t="s">
        <v>10</v>
      </c>
      <c r="D6">
        <v>2</v>
      </c>
      <c r="E6" t="s">
        <v>13</v>
      </c>
      <c r="F6" s="6">
        <f>_xlfn.SINGLE(_xlfn.XLOOKUP(Table2[[#This Row],[Person]],Table1[Person],Table1[Hourly Rate]))</f>
        <v>37</v>
      </c>
      <c r="G6" s="6">
        <f>D6*F6</f>
        <v>74</v>
      </c>
      <c r="H6" s="5"/>
      <c r="I6" t="s">
        <v>1</v>
      </c>
      <c r="J6" t="s">
        <v>4</v>
      </c>
    </row>
    <row r="7" spans="2:10" x14ac:dyDescent="0.3">
      <c r="B7" s="4">
        <v>46121</v>
      </c>
      <c r="C7" t="s">
        <v>8</v>
      </c>
      <c r="D7">
        <v>1</v>
      </c>
      <c r="E7" t="s">
        <v>15</v>
      </c>
      <c r="F7" s="6">
        <f>_xlfn.SINGLE(_xlfn.XLOOKUP(Table2[[#This Row],[Person]],Table1[Person],Table1[Hourly Rate]))</f>
        <v>35</v>
      </c>
      <c r="G7" s="6">
        <f>D7*F7</f>
        <v>35</v>
      </c>
      <c r="H7" s="5"/>
      <c r="I7" t="s">
        <v>8</v>
      </c>
      <c r="J7" s="6">
        <v>35</v>
      </c>
    </row>
    <row r="8" spans="2:10" x14ac:dyDescent="0.3">
      <c r="B8" s="4">
        <v>46121</v>
      </c>
      <c r="C8" t="s">
        <v>10</v>
      </c>
      <c r="D8">
        <v>2</v>
      </c>
      <c r="E8" t="s">
        <v>5</v>
      </c>
      <c r="F8" s="6">
        <f>_xlfn.SINGLE(_xlfn.XLOOKUP(Table2[[#This Row],[Person]],Table1[Person],Table1[Hourly Rate]))</f>
        <v>37</v>
      </c>
      <c r="G8" s="6">
        <f>D8*F8</f>
        <v>74</v>
      </c>
      <c r="H8" s="5"/>
      <c r="I8" t="s">
        <v>9</v>
      </c>
      <c r="J8" s="6">
        <v>40</v>
      </c>
    </row>
    <row r="9" spans="2:10" x14ac:dyDescent="0.3">
      <c r="B9" s="4">
        <v>46122</v>
      </c>
      <c r="C9" t="s">
        <v>9</v>
      </c>
      <c r="D9">
        <v>1</v>
      </c>
      <c r="E9" t="s">
        <v>14</v>
      </c>
      <c r="F9" s="6">
        <f>_xlfn.SINGLE(_xlfn.XLOOKUP(Table2[[#This Row],[Person]],Table1[Person],Table1[Hourly Rate]))</f>
        <v>40</v>
      </c>
      <c r="G9" s="6">
        <f>D9*F9</f>
        <v>40</v>
      </c>
      <c r="H9" s="5"/>
      <c r="I9" t="s">
        <v>10</v>
      </c>
      <c r="J9" s="6">
        <v>37</v>
      </c>
    </row>
    <row r="10" spans="2:10" x14ac:dyDescent="0.3">
      <c r="B10" s="4">
        <v>46123</v>
      </c>
      <c r="C10" t="s">
        <v>10</v>
      </c>
      <c r="D10">
        <v>2</v>
      </c>
      <c r="E10" t="s">
        <v>16</v>
      </c>
      <c r="F10" s="6">
        <f>_xlfn.SINGLE(_xlfn.XLOOKUP(Table2[[#This Row],[Person]],Table1[Person],Table1[Hourly Rate]))</f>
        <v>37</v>
      </c>
      <c r="G10" s="6">
        <f>D10*F10</f>
        <v>74</v>
      </c>
      <c r="H10" s="5"/>
    </row>
    <row r="11" spans="2:10" x14ac:dyDescent="0.3">
      <c r="B11" s="4">
        <v>46125</v>
      </c>
      <c r="C11" t="s">
        <v>9</v>
      </c>
      <c r="D11">
        <v>1</v>
      </c>
      <c r="E11" t="s">
        <v>17</v>
      </c>
      <c r="F11" s="6">
        <f>_xlfn.SINGLE(_xlfn.XLOOKUP(Table2[[#This Row],[Person]],Table1[Person],Table1[Hourly Rate]))</f>
        <v>40</v>
      </c>
      <c r="G11" s="6">
        <f>D11*F11</f>
        <v>40</v>
      </c>
      <c r="H11" s="5"/>
    </row>
    <row r="12" spans="2:10" x14ac:dyDescent="0.3">
      <c r="B12" s="4">
        <v>46125</v>
      </c>
      <c r="C12" t="s">
        <v>8</v>
      </c>
      <c r="D12">
        <v>1</v>
      </c>
      <c r="E12" t="s">
        <v>18</v>
      </c>
      <c r="F12" s="6">
        <f>_xlfn.SINGLE(_xlfn.XLOOKUP(Table2[[#This Row],[Person]],Table1[Person],Table1[Hourly Rate]))</f>
        <v>35</v>
      </c>
      <c r="G12" s="6">
        <f>D12*F12</f>
        <v>35</v>
      </c>
      <c r="H12" s="5"/>
    </row>
    <row r="13" spans="2:10" x14ac:dyDescent="0.3">
      <c r="B13" s="4">
        <v>46125</v>
      </c>
      <c r="C13" t="s">
        <v>10</v>
      </c>
      <c r="D13">
        <v>2</v>
      </c>
      <c r="E13" t="s">
        <v>19</v>
      </c>
      <c r="F13" s="6">
        <f>_xlfn.SINGLE(_xlfn.XLOOKUP(Table2[[#This Row],[Person]],Table1[Person],Table1[Hourly Rate]))</f>
        <v>37</v>
      </c>
      <c r="G13" s="6">
        <f>D13*F13</f>
        <v>74</v>
      </c>
      <c r="H13" s="5"/>
    </row>
    <row r="14" spans="2:10" x14ac:dyDescent="0.3">
      <c r="B14" s="4">
        <v>46125</v>
      </c>
      <c r="C14" t="s">
        <v>9</v>
      </c>
      <c r="D14">
        <v>1.5</v>
      </c>
      <c r="E14" t="s">
        <v>20</v>
      </c>
      <c r="F14" s="6">
        <f>_xlfn.SINGLE(_xlfn.XLOOKUP(Table2[[#This Row],[Person]],Table1[Person],Table1[Hourly Rate]))</f>
        <v>40</v>
      </c>
      <c r="G14" s="6">
        <f>D14*F14</f>
        <v>60</v>
      </c>
      <c r="H14" s="5"/>
    </row>
    <row r="15" spans="2:10" x14ac:dyDescent="0.3">
      <c r="B15" s="4">
        <v>46127</v>
      </c>
      <c r="C15" t="s">
        <v>8</v>
      </c>
      <c r="D15">
        <v>1.5</v>
      </c>
      <c r="E15" t="s">
        <v>21</v>
      </c>
      <c r="F15" s="6">
        <f>_xlfn.SINGLE(_xlfn.XLOOKUP(Table2[[#This Row],[Person]],Table1[Person],Table1[Hourly Rate]))</f>
        <v>35</v>
      </c>
      <c r="G15" s="6">
        <f>D15*F15</f>
        <v>52.5</v>
      </c>
      <c r="H15" s="3"/>
    </row>
    <row r="16" spans="2:10" x14ac:dyDescent="0.3">
      <c r="B16" s="4">
        <v>46128</v>
      </c>
      <c r="C16" t="s">
        <v>10</v>
      </c>
      <c r="D16">
        <v>2</v>
      </c>
      <c r="E16" t="s">
        <v>22</v>
      </c>
      <c r="F16" s="6">
        <f>_xlfn.SINGLE(_xlfn.XLOOKUP(Table2[[#This Row],[Person]],Table1[Person],Table1[Hourly Rate]))</f>
        <v>37</v>
      </c>
      <c r="G16" s="6">
        <f>D16*F16</f>
        <v>74</v>
      </c>
      <c r="H16" s="3"/>
    </row>
    <row r="17" spans="2:8" x14ac:dyDescent="0.3">
      <c r="B17" s="4">
        <v>46130</v>
      </c>
      <c r="C17" t="s">
        <v>9</v>
      </c>
      <c r="D17">
        <v>2.5</v>
      </c>
      <c r="E17" t="s">
        <v>23</v>
      </c>
      <c r="F17" s="6">
        <f>_xlfn.SINGLE(_xlfn.XLOOKUP(Table2[[#This Row],[Person]],Table1[Person],Table1[Hourly Rate]))</f>
        <v>40</v>
      </c>
      <c r="G17" s="6">
        <f>D17*F17</f>
        <v>100</v>
      </c>
      <c r="H17" s="3"/>
    </row>
    <row r="18" spans="2:8" x14ac:dyDescent="0.3">
      <c r="B18" s="4">
        <v>46130</v>
      </c>
      <c r="C18" t="s">
        <v>10</v>
      </c>
      <c r="D18">
        <v>3</v>
      </c>
      <c r="E18" t="s">
        <v>25</v>
      </c>
      <c r="F18" s="6">
        <f>_xlfn.SINGLE(_xlfn.XLOOKUP(Table2[[#This Row],[Person]],Table1[Person],Table1[Hourly Rate]))</f>
        <v>37</v>
      </c>
      <c r="G18" s="6">
        <f>D18*F18</f>
        <v>111</v>
      </c>
      <c r="H18" s="3"/>
    </row>
    <row r="19" spans="2:8" x14ac:dyDescent="0.3">
      <c r="B19" s="4">
        <v>46131</v>
      </c>
      <c r="C19" t="s">
        <v>8</v>
      </c>
      <c r="D19">
        <v>1</v>
      </c>
      <c r="E19" t="s">
        <v>26</v>
      </c>
      <c r="F19" s="6">
        <f>_xlfn.SINGLE(_xlfn.XLOOKUP(Table2[[#This Row],[Person]],Table1[Person],Table1[Hourly Rate]))</f>
        <v>35</v>
      </c>
      <c r="G19" s="6">
        <f>D19*F19</f>
        <v>35</v>
      </c>
      <c r="H19" s="3"/>
    </row>
    <row r="20" spans="2:8" x14ac:dyDescent="0.3">
      <c r="B20" s="4">
        <v>46132</v>
      </c>
      <c r="C20" t="s">
        <v>9</v>
      </c>
      <c r="D20">
        <v>1</v>
      </c>
      <c r="E20" t="s">
        <v>27</v>
      </c>
      <c r="F20" s="6">
        <f>_xlfn.SINGLE(_xlfn.XLOOKUP(Table2[[#This Row],[Person]],Table1[Person],Table1[Hourly Rate]))</f>
        <v>40</v>
      </c>
      <c r="G20" s="6">
        <f>D20*F20</f>
        <v>40</v>
      </c>
      <c r="H20" s="3"/>
    </row>
    <row r="21" spans="2:8" x14ac:dyDescent="0.3">
      <c r="F21" s="2"/>
      <c r="G21" s="1"/>
      <c r="H21" s="3"/>
    </row>
    <row r="22" spans="2:8" x14ac:dyDescent="0.3">
      <c r="F22" s="2"/>
      <c r="G22" s="1"/>
      <c r="H22" s="3"/>
    </row>
    <row r="23" spans="2:8" x14ac:dyDescent="0.3">
      <c r="F23" s="2"/>
      <c r="G23" s="1"/>
      <c r="H23" s="3"/>
    </row>
    <row r="24" spans="2:8" x14ac:dyDescent="0.3">
      <c r="F24" s="2"/>
      <c r="G24" s="1"/>
      <c r="H24" s="3"/>
    </row>
    <row r="25" spans="2:8" x14ac:dyDescent="0.3">
      <c r="F25" s="2"/>
      <c r="G25" s="1"/>
    </row>
    <row r="26" spans="2:8" x14ac:dyDescent="0.3">
      <c r="F26" s="2"/>
      <c r="G26" s="1"/>
    </row>
    <row r="27" spans="2:8" x14ac:dyDescent="0.3">
      <c r="F27" s="2"/>
      <c r="G27" s="1"/>
    </row>
    <row r="28" spans="2:8" x14ac:dyDescent="0.3">
      <c r="F28" s="2"/>
      <c r="G28" s="1"/>
    </row>
    <row r="29" spans="2:8" x14ac:dyDescent="0.3">
      <c r="F29" s="2"/>
    </row>
    <row r="30" spans="2:8" x14ac:dyDescent="0.3">
      <c r="F30" s="2"/>
    </row>
    <row r="31" spans="2:8" x14ac:dyDescent="0.3">
      <c r="F31" s="2"/>
    </row>
    <row r="32" spans="2:8" x14ac:dyDescent="0.3">
      <c r="F32" s="2"/>
    </row>
    <row r="33" spans="6:6" x14ac:dyDescent="0.3">
      <c r="F33" s="2"/>
    </row>
    <row r="34" spans="6:6" x14ac:dyDescent="0.3">
      <c r="F34" s="2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Lamoureux</dc:creator>
  <cp:lastModifiedBy>Jacob Lamoureux</cp:lastModifiedBy>
  <dcterms:created xsi:type="dcterms:W3CDTF">2015-06-05T18:17:20Z</dcterms:created>
  <dcterms:modified xsi:type="dcterms:W3CDTF">2026-04-21T16:43:13Z</dcterms:modified>
</cp:coreProperties>
</file>